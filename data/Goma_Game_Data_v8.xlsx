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HƯỚNG_DẪN" sheetId="1" state="visible" r:id="rId3"/>
    <sheet name="LUẬT_VÀ_QUYẾT_ĐỊNH" sheetId="2" state="visible" r:id="rId4"/>
    <sheet name="KHUNG_VAI_TRÒ" sheetId="3" state="visible" r:id="rId5"/>
    <sheet name="NHÂN_VẬT" sheetId="4" state="visible" r:id="rId6"/>
    <sheet name="CHỈ_SỐ_TRẮNG" sheetId="5" state="visible" r:id="rId7"/>
    <sheet name="HỆ_SỐ_PHẨM_CHẤT" sheetId="6" state="visible" r:id="rId8"/>
    <sheet name="CHỈ_SỐ_TÍNH" sheetId="7" state="visible" r:id="rId9"/>
    <sheet name="SKILL_MÔ_TẢ" sheetId="8" state="visible" r:id="rId10"/>
    <sheet name="SKILL_THÀNH_PHẦN" sheetId="9" state="visible" r:id="rId11"/>
    <sheet name="KIỂM_NGÂN_SÁCH" sheetId="10" state="visible" r:id="rId12"/>
    <sheet name="HIỆU_ỨNG" sheetId="11" state="visible" r:id="rId13"/>
    <sheet name="QUÁI_BOSS" sheetId="12" state="visible" r:id="rId14"/>
    <sheet name="QUÁI_THÀNH_PHẦN" sheetId="13" state="visible" r:id="rId15"/>
    <sheet name="MAP_MÀN" sheetId="14" state="visible" r:id="rId16"/>
    <sheet name="ẢNH_NHÂN_VẬT" sheetId="15" state="visible" r:id="rId17"/>
    <sheet name="DANH_MỤC" sheetId="16" state="visible" r:id="rId18"/>
  </sheets>
  <definedNames>
    <definedName function="false" hidden="true" localSheetId="1" name="_xlnm._FilterDatabase" vbProcedure="false">LUẬT_VÀ_QUYẾT_ĐỊNH!$A$4:$E$88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<sst xmlns="http://schemas.openxmlformats.org/spreadsheetml/2006/main" count="1749" uniqueCount="844">
  <si>
    <t xml:space="preserve">GOMA – DỮ LIỆU GAME THẺ BÀI (v5, bản thô demo: 8 tướng × 3 phẩm chất)</t>
  </si>
  <si>
    <t xml:space="preserve">CẢNH BÁO</t>
  </si>
  <si>
    <t xml:space="preserve">Mọi số chỉ số, skill, ngân sách trong file là SỐ NHÁP để HỖ TRỢ, chưa cân. Nhiều buff nhỏ gộp lại rất mạnh (ví dụ tank có khiên, hồi, nội tại hồi và khiêu khích gần như bất tử), nên cân bằng thật phải dựa vào chơi thử và chỉnh số.</t>
  </si>
  <si>
    <t xml:space="preserve">Trạng thái</t>
  </si>
  <si>
    <t xml:space="preserve">Claude đã sinh nháp chỉ số, skill, nội tại cho 8 vai theo khung vai trò. Anh đổi tên, viết gia vị, sửa số rồi gửi lại để làm bản chơi được.</t>
  </si>
  <si>
    <t xml:space="preserve">ANH CẦN LÀM</t>
  </si>
  <si>
    <t xml:space="preserve">1. NHÂN_VẬT</t>
  </si>
  <si>
    <t xml:space="preserve">Đặt tên thật cho 8 tướng (đang là tên tạm). Vai trò đã gán sẵn: 2 Tank, 2 Vật lý, 1 Phép, 2 Hỗ trợ, 1 Sát thủ. Đổi nếu muốn.</t>
  </si>
  <si>
    <t xml:space="preserve">2. SKILL_MÔ_TẢ</t>
  </si>
  <si>
    <t xml:space="preserve">Đặt lại tên skill, viết cột 'Gia vị'. Đổi số ở đây thì phải sửa SKILL_THÀNH_PHẦN cho khớp (game đọc số từ SKILL_THÀNH_PHẦN).</t>
  </si>
  <si>
    <t xml:space="preserve">3. Rà số</t>
  </si>
  <si>
    <t xml:space="preserve">Xem CHỈ_SỐ_TRẮNG (cột Kiểm khung), SKILL_THÀNH_PHẦN, KIỂM_NGÂN_SÁCH. Sửa số ở ô vàng.</t>
  </si>
  <si>
    <t xml:space="preserve">4. ẢNH_NHÂN_VẬT</t>
  </si>
  <si>
    <t xml:space="preserve">Ghi tên file ảnh khi có.</t>
  </si>
  <si>
    <t xml:space="preserve">5. LUẬT_VÀ_QUYẾT_ĐỊNH</t>
  </si>
  <si>
    <t xml:space="preserve">Đọc để biết cái gì đã chốt, tạm, chưa chốt, đang treo. Lọc theo cột Trạng thái.</t>
  </si>
  <si>
    <t xml:space="preserve">MÀU Ô</t>
  </si>
  <si>
    <t xml:space="preserve">Vàng nhạt, chữ xanh</t>
  </si>
  <si>
    <t xml:space="preserve">Ô anh có thể sửa.</t>
  </si>
  <si>
    <t xml:space="preserve">Xanh lá nhạt</t>
  </si>
  <si>
    <t xml:space="preserve">Công thức tự tính. Gõ đè được nếu muốn chỉnh tay.</t>
  </si>
  <si>
    <t xml:space="preserve">Xám đậm</t>
  </si>
  <si>
    <t xml:space="preserve">Ô không áp dụng.</t>
  </si>
  <si>
    <t xml:space="preserve">CÁC SHEET</t>
  </si>
  <si>
    <t xml:space="preserve">LUẬT_VÀ_QUYẾT_ĐỊNH</t>
  </si>
  <si>
    <t xml:space="preserve">Toàn bộ luật trận, phạm vi demo, quyết định, vấn đề đang treo. Cùng nội dung với file md thiết kế.</t>
  </si>
  <si>
    <t xml:space="preserve">KHUNG_VAI_TRÒ</t>
  </si>
  <si>
    <t xml:space="preserve">Chuẩn Trắng, khoảng chỉ số và ngân sách skill của 5 vai trò.</t>
  </si>
  <si>
    <t xml:space="preserve">CHỈ_SỐ_TRẮNG / HỆ_SỐ_PHẨM_CHẤT / CHỈ_SỐ_TÍNH</t>
  </si>
  <si>
    <t xml:space="preserve">Chỉ số bản Trắng → tự tính Xanh lá, Xanh dương (Tím, Đỏ để sau). Hệ số là SỐ GIẢ.</t>
  </si>
  <si>
    <t xml:space="preserve">SKILL_MÔ_TẢ</t>
  </si>
  <si>
    <t xml:space="preserve">Tên và mô tả skill, nội tại (phần gia vị).</t>
  </si>
  <si>
    <t xml:space="preserve">SKILL_THÀNH_PHẦN</t>
  </si>
  <si>
    <t xml:space="preserve">Cơ chế thật: mỗi skill gồm nhiều thành phần (sát thương, khiên, hồi, trạng thái...), có số mục tiêu, độ lớn, xác suất theo phẩm chất.</t>
  </si>
  <si>
    <t xml:space="preserve">KIỂM_NGÂN_SÁCH</t>
  </si>
  <si>
    <t xml:space="preserve">So điểm sức mạnh skill với khung vai trò.</t>
  </si>
  <si>
    <t xml:space="preserve">HIỆU_ỨNG</t>
  </si>
  <si>
    <t xml:space="preserve">Trạng thái dùng chung. Khiêu khích và Làm chậm là đề xuất của Claude.</t>
  </si>
  <si>
    <t xml:space="preserve">LUẬT ĐÃ CHỐT (tóm tắt)</t>
  </si>
  <si>
    <t xml:space="preserve">Nộ</t>
  </si>
  <si>
    <t xml:space="preserve">Bắt đầu 50. Đánh trúng +30 cho người đánh. Bị đánh +10 (kể cả bị né, bị skill). Né thì người đánh không +30. Đủ 100 xả skill rồi về 0. Skill không chí mạng, có thể bị né.</t>
  </si>
  <si>
    <t xml:space="preserve">Đội hình</t>
  </si>
  <si>
    <t xml:space="preserve">2 hàng × 3 ô, tối đa 5 tướng. Đòn thường: hàng trước trước, random trong hàng. Tối đa 15 lượt.</t>
  </si>
  <si>
    <t xml:space="preserve">Phẩm chất demo</t>
  </si>
  <si>
    <t xml:space="preserve">Trắng: skill gốc. Xanh lá: tăng chỉ số và độ lớn skill. Xanh dương: thêm nội tại, hiệu ứng phụ xuất hiện. Tím, Đỏ để bản sau.</t>
  </si>
  <si>
    <t xml:space="preserve">SỐ GIẢ / GIẢ ĐỊNH CẦN BIẾT</t>
  </si>
  <si>
    <t xml:space="preserve">Ngân sách</t>
  </si>
  <si>
    <t xml:space="preserve">1 điểm = 1% máu chuẩn, sát thương, hồi, khiên quy đổi ngang giá. Chưa kiểm bằng mô phỏng.</t>
  </si>
  <si>
    <t xml:space="preserve">Số khác ví dụ của anh</t>
  </si>
  <si>
    <t xml:space="preserve">Khiên Tank 12% (anh nêu 5%), hồi Hỗ trợ 18-22% (anh nêu 5%): vì ngân sách khung. Muốn dùng số của anh thì sửa ở SKILL_THÀNH_PHẦN.</t>
  </si>
  <si>
    <t xml:space="preserve">Xác suất hiệu ứng</t>
  </si>
  <si>
    <t xml:space="preserve">10% / 15% (bước nhảy lớn hơn 5% / 7%) để người chơi cảm nhận được. Sửa nếu anh muốn giữ 5%.</t>
  </si>
  <si>
    <t xml:space="preserve">LUẬT VÀ QUYẾT ĐỊNH – cái gì đã chốt, tạm, chưa chốt, đang treo</t>
  </si>
  <si>
    <t xml:space="preserve">Đã chốt = anh quyết. Tạm = Claude đề xuất hoặc số tạm. Chưa chốt = chưa bàn xong. Treo = đã nêu phương án, anh chưa chọn.</t>
  </si>
  <si>
    <t xml:space="preserve">Nhóm</t>
  </si>
  <si>
    <t xml:space="preserve">Mục</t>
  </si>
  <si>
    <t xml:space="preserve">Nội dung</t>
  </si>
  <si>
    <t xml:space="preserve">Ghi chú</t>
  </si>
  <si>
    <t xml:space="preserve">1. Dự án và time-box</t>
  </si>
  <si>
    <t xml:space="preserve">Mục đích</t>
  </si>
  <si>
    <t xml:space="preserve">Game thẻ bài gacha đánh theo lượt, tướng là đồng nghiệp công ty, làm cho vui, khoảng 20 người chơi. Anh coi đây là thử thách và case study.</t>
  </si>
  <si>
    <t xml:space="preserve">Đã chốt</t>
  </si>
  <si>
    <t xml:space="preserve">Hạn</t>
  </si>
  <si>
    <t xml:space="preserve">Bản thô chơi được đến tối 07/10/2026, chỉ khoảng 3-4 giờ làm thật. Anh tự tạo áp lực để xem mình làm được gì.</t>
  </si>
  <si>
    <t xml:space="preserve">Mở rộng</t>
  </si>
  <si>
    <t xml:space="preserve">Thêm tối đa 24 giờ nếu bản thô đạt kỳ vọng người chơi.</t>
  </si>
  <si>
    <t xml:space="preserve">Tiêu chí đạt</t>
  </si>
  <si>
    <t xml:space="preserve">Trong 24 giờ có ít nhất 8/20 người thử, ít nhất 50% chơi xong trận đầu, ít nhất 3 người chơi lại lần 2. Đạt thì mở thêm 24 giờ, không đạt thì đóng băng và ghi bài học.</t>
  </si>
  <si>
    <t xml:space="preserve">Tạm</t>
  </si>
  <si>
    <t xml:space="preserve">Mặc định của Claude, anh chưa xác nhận số. Người chơi lại lần 2 là thước thật vì lần đầu bị ảo do tò mò khi thấy mặt mình, sếp trong game.</t>
  </si>
  <si>
    <t xml:space="preserve">Thứ tự cắt nếu trễ</t>
  </si>
  <si>
    <t xml:space="preserve">Mini-game thứ hai, rồi trùm, rồi giảm số tướng từ 8 xuống 6. Không kéo dài hạn, không cắt giờ ngủ để bù.</t>
  </si>
  <si>
    <t xml:space="preserve">Đề xuất của Claude.</t>
  </si>
  <si>
    <t xml:space="preserve">Dòng 'game vui'</t>
  </si>
  <si>
    <t xml:space="preserve">Màn vào game có một dòng nói đây chỉ là game vui, để tránh mích lòng.</t>
  </si>
  <si>
    <t xml:space="preserve">Báo người trong game</t>
  </si>
  <si>
    <t xml:space="preserve">Cho những người xuất hiện (nhất là nhân vật sếp) xem trước khi phát cho cả nhóm.</t>
  </si>
  <si>
    <t xml:space="preserve">Không xếp theo chức vụ</t>
  </si>
  <si>
    <t xml:space="preserve">Sếp hay nhân viên đều có đủ 5 phẩm chất, độ mạnh không theo chức vụ.</t>
  </si>
  <si>
    <t xml:space="preserve">Xác suất quay như nhau</t>
  </si>
  <si>
    <t xml:space="preserve">Mọi người có cùng xác suất ra, độ hiếm nằm ở phẩm chất.</t>
  </si>
  <si>
    <t xml:space="preserve">2. Phạm vi bản demo</t>
  </si>
  <si>
    <t xml:space="preserve">Tướng và phẩm chất</t>
  </si>
  <si>
    <t xml:space="preserve">8 tướng × 3 phẩm chất (Trắng, Xanh lá, Xanh dương). Tím và Đỏ để bản sau, vì vào game đã thấy Đỏ thì mất vui.</t>
  </si>
  <si>
    <t xml:space="preserve">Vai trò 8 tướng</t>
  </si>
  <si>
    <t xml:space="preserve">2 Tank, 2 Vật lý, 1 Phép, 2 Hỗ trợ, 1 Sát thủ. Tank A là Thủ kho Hiếu.</t>
  </si>
  <si>
    <t xml:space="preserve">Claude gán, anh đổi được.</t>
  </si>
  <si>
    <t xml:space="preserve">Nội dung chặng</t>
  </si>
  <si>
    <t xml:space="preserve">1 chặng vài trận, 3 loại quái và 1 trùm.</t>
  </si>
  <si>
    <t xml:space="preserve">Quái và trùm là ai chưa chốt (gợi ý: chuột, mèo hoang, thảm mốc, trùm Khách khó tính).</t>
  </si>
  <si>
    <t xml:space="preserve">Mini-game</t>
  </si>
  <si>
    <t xml:space="preserve">2 mini-game đơn giản, 1 mini-game nếu thiếu giờ. Mini-game đầu ở lượt 1.</t>
  </si>
  <si>
    <t xml:space="preserve">Gacha demo</t>
  </si>
  <si>
    <t xml:space="preserve">Ra thẳng phẩm chất: Trắng 65%, Xanh lá 27%, Xanh dương 8%. Tặng khoảng 10 lượt quay và 3 tướng Trắng khởi đầu. Quay trùng đổi thành 1 lượt quay. Không có mảnh, bảo hiểm.</t>
  </si>
  <si>
    <t xml:space="preserve">Số tạm để chạy được.</t>
  </si>
  <si>
    <t xml:space="preserve">Kỹ thuật</t>
  </si>
  <si>
    <t xml:space="preserve">HTML 1 file, lưu tiến trình bằng localStorage.</t>
  </si>
  <si>
    <t xml:space="preserve">Nền tảng</t>
  </si>
  <si>
    <t xml:space="preserve">Chơi trên điện thoại (màn dọc) hay máy tính.</t>
  </si>
  <si>
    <t xml:space="preserve">Chưa chốt</t>
  </si>
  <si>
    <t xml:space="preserve">Quyết định tỷ lệ nền và cách xếp 2 hàng tướng.</t>
  </si>
  <si>
    <t xml:space="preserve">Không làm ở demo</t>
  </si>
  <si>
    <t xml:space="preserve">Cơ chế mảnh nâng cấp, nâng cấp auto, PvP, phẩm chất Tím và Đỏ.</t>
  </si>
  <si>
    <t xml:space="preserve">3. Luật trận (PvE)</t>
  </si>
  <si>
    <t xml:space="preserve">Số lượt</t>
  </si>
  <si>
    <t xml:space="preserve">Tối đa 15 lượt.</t>
  </si>
  <si>
    <t xml:space="preserve">Thắng thua</t>
  </si>
  <si>
    <t xml:space="preserve">Toàn đội tướng chết thì thua. Hết 15 lượt chưa diệt hết quái cũng thua.</t>
  </si>
  <si>
    <t xml:space="preserve">PvP</t>
  </si>
  <si>
    <t xml:space="preserve">Để trống. Dự kiến hết lượt thì so tổng máu, hòa thì đội có tướng ra đòn đầu ở lượt 1 thắng.</t>
  </si>
  <si>
    <t xml:space="preserve">Anh bảo còn xa.</t>
  </si>
  <si>
    <t xml:space="preserve">2 hàng × 3 ô = 6 vị trí, tối đa 5 tướng.</t>
  </si>
  <si>
    <t xml:space="preserve">Thứ tự ra đòn</t>
  </si>
  <si>
    <t xml:space="preserve">Tốc độ cao ra trước, tính lại mỗi lượt (đã cộng buff/debuff), so số lẻ không làm tròn.</t>
  </si>
  <si>
    <t xml:space="preserve">Gacha ẩn</t>
  </si>
  <si>
    <t xml:space="preserve">Chỉ khi hai đơn vị bằng nhau chính xác mới quay ngẫu nhiên. Mỗi lượt quay lại, người chơi không thấy.</t>
  </si>
  <si>
    <t xml:space="preserve">Nên ghi log kết quả quay để phát lại khi test (đề xuất của Claude).</t>
  </si>
  <si>
    <t xml:space="preserve">Chọn mục tiêu đòn thường</t>
  </si>
  <si>
    <t xml:space="preserve">Hàng trước trước, random trong hàng, hết hàng trước mới tới hàng sau.</t>
  </si>
  <si>
    <t xml:space="preserve">Skill nhắm hàng đã hết người</t>
  </si>
  <si>
    <t xml:space="preserve">Random 1 đối tượng còn sống khác của đội địch.</t>
  </si>
  <si>
    <t xml:space="preserve">Nộ khởi đầu</t>
  </si>
  <si>
    <t xml:space="preserve">50 nộ mỗi trận, cả tướng lẫn quái.</t>
  </si>
  <si>
    <t xml:space="preserve">Cộng và dùng nộ</t>
  </si>
  <si>
    <t xml:space="preserve">Đánh trúng +30 cho người đánh. Bị đánh +10 (kể cả bị né, bị skill). Đủ 100 thì xả skill, xả xong về 0 (phần dư mất).</t>
  </si>
  <si>
    <t xml:space="preserve">Né</t>
  </si>
  <si>
    <t xml:space="preserve">Né thành công: người né +10 nộ, người đánh không được +30, không mất máu.</t>
  </si>
  <si>
    <t xml:space="preserve">Skill</t>
  </si>
  <si>
    <t xml:space="preserve">Không chí mạng, có thể bị né. Skill nhiều mục tiêu: mỗi mục tiêu tự xét né và +10 nộ riêng, người xả về 0 một lần.</t>
  </si>
  <si>
    <t xml:space="preserve">Hồi máu</t>
  </si>
  <si>
    <t xml:space="preserve">Hồi/lượt là số cố định, hồi ngay sau khi chính đơn vị đó ra đòn xong, đơn vị chết không hồi. Hồi theo %: tính trên máu tối đa của người được hồi.</t>
  </si>
  <si>
    <t xml:space="preserve">Khiên</t>
  </si>
  <si>
    <t xml:space="preserve">Mỗi lần xả skill tạo 1 khiên (% máu tối đa của người xả). Sát thương trừ khiên trước. Vỡ khi bị đánh vượt giá trị khiên hoặc sau 2 lượt.</t>
  </si>
  <si>
    <t xml:space="preserve">Xả lại khi khiên cũ còn: làm mới, không cộng dồn (mặc định tạm, anh chưa xác nhận).</t>
  </si>
  <si>
    <t xml:space="preserve">'Chậm 1 lượt'</t>
  </si>
  <si>
    <t xml:space="preserve">Nếu lượt đó chưa ra đòn thì mất đòn. Đã ra đòn rồi thì chỉ chịu hiệu ứng phụ (trừ nộ, giảm tốc).</t>
  </si>
  <si>
    <t xml:space="preserve">Cách đếm thời lượng</t>
  </si>
  <si>
    <t xml:space="preserve">Hiệu ứng N lượt: lượt hiện tại tính là lượt thứ nhất. Nếu người nhận đã ra đòn rồi thì coi như mất 1 lượt, chưa ra đòn thì được lượt này cộng lượt kế (với hiệu ứng 2 lượt).</t>
  </si>
  <si>
    <t xml:space="preserve">Anh nêu cho Điên tiết. Claude áp dụng chung cho mọi hiệu ứng N lượt (khớp với khiên hết sau 2 lượt), anh sửa nếu khác.</t>
  </si>
  <si>
    <t xml:space="preserve">10 chỉ số</t>
  </si>
  <si>
    <t xml:space="preserve">Máu, Công, Thủ, Tốc độ, Hồi máu/lượt, Né, Chính xác, Tỷ lệ chí mạng, Sát thương chí mạng, Kháng chí mạng. Né và tỷ lệ chí mạng giữ dưới 10%.</t>
  </si>
  <si>
    <t xml:space="preserve">Công thức né, chí mạng</t>
  </si>
  <si>
    <t xml:space="preserve">Né hiệu dụng = Né − Chính xác (sàn 0%, trần 60%). Chí mạng hiệu dụng = Tỷ lệ chí mạng − Kháng chí mạng (sàn 0%, trần 75%). Sát thương chí mạng mặc định 150%.</t>
  </si>
  <si>
    <t xml:space="preserve">Anh đồng ý tạm, sẽ chỉnh khi mất cân bằng.</t>
  </si>
  <si>
    <t xml:space="preserve">Công thức sát thương</t>
  </si>
  <si>
    <t xml:space="preserve">Công × 100 / (100 + Thủ). Skill Trắng gây 200% công lên 1 mục tiêu.</t>
  </si>
  <si>
    <t xml:space="preserve">Khiêu khích</t>
  </si>
  <si>
    <t xml:space="preserve">Địch buộc đánh người khiêu khích (đòn thường và skill 1 mục tiêu), 1 lượt. Skill nhiều mục tiêu không bị ảnh hưởng. Nhiều người khiêu khích: địch random giữa họ. Choáng hoặc đóng băng người khiêu khích thì mất tác dụng.</t>
  </si>
  <si>
    <t xml:space="preserve">Anh đã chốt là có hiệu ứng này; quy tắc chi tiết là đề xuất của Claude.</t>
  </si>
  <si>
    <t xml:space="preserve">4. Main và mini-game</t>
  </si>
  <si>
    <t xml:space="preserve">Vai trò main</t>
  </si>
  <si>
    <t xml:space="preserve">Main không tham chiến, đứng góc, chỉ cổ vũ và buff.</t>
  </si>
  <si>
    <t xml:space="preserve">Nhịp mini-game</t>
  </si>
  <si>
    <t xml:space="preserve">Ở lượt 1, 4, 7, 10, 13. Loại mini-game do gacha quyết định, người chơi không chọn. Mỗi game gắn một loại buff/debuff riêng. Kết quả hoàn toàn do tay người chơi.</t>
  </si>
  <si>
    <t xml:space="preserve">Ví dụ: căn lực, trả lời câu hỏi, ghép chữ.</t>
  </si>
  <si>
    <t xml:space="preserve">4 mức kết quả</t>
  </si>
  <si>
    <t xml:space="preserve">Trượt (không buff, còn bị debuff), đạt, hay, tuyệt vời. Game khó thì buff tuyệt vời mạnh hơn. Buff tồn tại 1-3 lượt.</t>
  </si>
  <si>
    <t xml:space="preserve">Tỷ lệ anh tính lại khi chạy thật.</t>
  </si>
  <si>
    <t xml:space="preserve">Chuỗi trượt</t>
  </si>
  <si>
    <t xml:space="preserve">Trượt liên tiếp thì debuff tăng tầng (ví dụ giảm tốc độ toàn đội 5% rồi 7,5%). Trần 3 tầng, lần trượt thứ 4, 5 giữ tầng 3. Đạt thì về 0. Auto tính chung chuỗi với chơi tay.</t>
  </si>
  <si>
    <t xml:space="preserve">Đổi game</t>
  </si>
  <si>
    <t xml:space="preserve">Mỗi mini-game được đổi 1 lần.</t>
  </si>
  <si>
    <t xml:space="preserve">Chưa chốt: đổi có tốn gì không, auto có được tự đổi không.</t>
  </si>
  <si>
    <t xml:space="preserve">Auto</t>
  </si>
  <si>
    <t xml:space="preserve">Tỷ lệ luôn thấp hơn chơi tay (trượt nhiều hơn đạt), nâng cấp được để tăng tỷ lệ.</t>
  </si>
  <si>
    <t xml:space="preserve">Còn mở</t>
  </si>
  <si>
    <t xml:space="preserve">Tỷ lệ 4 mức, bảng mini-game × buff/debuff, debuff tồn tại mấy lượt, chuỗi trượt có giữ qua trận mới không.</t>
  </si>
  <si>
    <t xml:space="preserve">5. Phẩm chất và skill</t>
  </si>
  <si>
    <t xml:space="preserve">5 phẩm chất</t>
  </si>
  <si>
    <t xml:space="preserve">Trắng, Xanh lá, Xanh dương, Tím, Đỏ. Mỗi người đều có đủ 5, vai trò đi theo người.</t>
  </si>
  <si>
    <t xml:space="preserve">Tăng theo bậc</t>
  </si>
  <si>
    <t xml:space="preserve">Xanh lá: tăng chỉ số và độ lớn skill. Xanh dương: thêm nội tại. Tím: tăng chỉ số, skill, nội tại. Đỏ: tăng tất cả và đổi skill gốc thành skill hoành tráng, nội tại giữ loại hiệu ứng chỉ tăng độ lớn.</t>
  </si>
  <si>
    <t xml:space="preserve">Biểu diễn skill</t>
  </si>
  <si>
    <t xml:space="preserve">Mỗi skill gồm nhiều thành phần (sát thương, khiên, hồi, trạng thái...), phẩm chất cao tăng dame và thêm hiệu ứng. Skill là phần gia vị anh đầu tư.</t>
  </si>
  <si>
    <t xml:space="preserve">Sheet SKILL_THÀNH_PHẦN.</t>
  </si>
  <si>
    <t xml:space="preserve">Phép và Vật lý</t>
  </si>
  <si>
    <t xml:space="preserve">Vật lý: 1 mục tiêu, dame lớn. Phép: nhiều mục tiêu, dame nhỏ kèm hiệu ứng nhẹ. Phép từ 2 mục tiêu đến toàn bộ (toàn bộ ở Đỏ).</t>
  </si>
  <si>
    <t xml:space="preserve">Không thêm chỉ số riêng, đây là phong cách skill.</t>
  </si>
  <si>
    <t xml:space="preserve">Bậc thang mục tiêu của Phép</t>
  </si>
  <si>
    <t xml:space="preserve">Demo: Trắng 2, Xanh lá 2, Xanh dương 3 mục tiêu; sát thương mỗi mục tiêu ×1,10 / ×1,2 / ×1,3 (số của anh).</t>
  </si>
  <si>
    <t xml:space="preserve">Xanh dương tổng 3,9 công (3 × 1,3), cao hơn khoảng 35% so với bậc thang đề xuất (khoảng 2,9). Phép toàn bộ đẩy nhanh nộ hàng sau của địch.</t>
  </si>
  <si>
    <t xml:space="preserve">Hệ số theo phẩm chất</t>
  </si>
  <si>
    <t xml:space="preserve">Máu, Công, Thủ, Hồi máu nhân 1,00 / 1,15 / 1,30 / 1,50 / 1,75. Tốc độ cộng 0 đến 4, các tỷ lệ cộng 0 đến 2 điểm.</t>
  </si>
  <si>
    <t xml:space="preserve">SỐ GIẢ. Anh từng nghĩ Đỏ có thể gấp rất nhiều lần; sửa ở HỆ_SỐ_PHẨM_CHẤT.</t>
  </si>
  <si>
    <t xml:space="preserve">Số skill theo anh</t>
  </si>
  <si>
    <t xml:space="preserve">Anh tự chỉnh số trong SKILL_MÔ_TẢ: khiên Tank A 10/12/15%, Tank B 7/9/11%, hồi Hỗ trợ A 18/22/22%, Vật lý ×2,0 đến ×2,4, Sát thủ ×1,70/1,8/1,85, Phép ×1,10/1,2/1,3. Game đọc số từ SKILL_THÀNH_PHẦN, phải khớp với SKILL_MÔ_TẢ.</t>
  </si>
  <si>
    <t xml:space="preserve">Thay cho số ngân sách của Claude (khiên 12%, hồi 18-22%) và ví dụ 5%.</t>
  </si>
  <si>
    <t xml:space="preserve">Xác suất hiệu ứng phụ</t>
  </si>
  <si>
    <t xml:space="preserve">Anh dùng 10% cho choáng, đóng băng, làm chậm, Điên tiết (Hít Sâu 20%, trừ nộ của Sát thủ 50%). Hiệu ứng phụ thường mở từ Xanh dương.</t>
  </si>
  <si>
    <t xml:space="preserve">Anh dùng 10% thay vì 5% ví dụ, Claude coi như đã chốt.</t>
  </si>
  <si>
    <t xml:space="preserve">Chi tiết skill đã xác nhận</t>
  </si>
  <si>
    <t xml:space="preserve">Hít Sâu (Phép A): tung xác suất 20% ở cuối lượt, sau khi ra đòn. Chốt Hạ (Sát thủ): hồi 50 nộ chỉ khi SKILL NỘ (Mũi Dao Sau Lưng, 1 mục tiêu) hạ gục địch, đòn thường thì không. Vật lý A (Nhát Cắt Dứt Điểm): ×2,0 / 2,2 / 2,4.</t>
  </si>
  <si>
    <t xml:space="preserve">Anh xác nhận. Vật lý A trước đó gõ nhầm ×2,2 ở Xanh dương.</t>
  </si>
  <si>
    <t xml:space="preserve">Điểm còn hiểu theo mô tả</t>
  </si>
  <si>
    <t xml:space="preserve">Chốt Hạ: +20% sát thương lên mục tiêu máu dưới 30% áp dụng cho cả đòn thường lẫn skill. Phép Xanh dương: đóng băng thay cho làm chậm (làm chậm chỉ ở Xanh lá).</t>
  </si>
  <si>
    <t xml:space="preserve">Claude hiểu theo mô tả của anh, chưa hỏi lại. Sửa trong SKILL_THÀNH_PHẦN nếu khác.</t>
  </si>
  <si>
    <t xml:space="preserve">6. Khung vai trò</t>
  </si>
  <si>
    <t xml:space="preserve">Chuẩn Trắng</t>
  </si>
  <si>
    <t xml:space="preserve">Máu 1000, Công 100, Thủ 40, Tốc độ 100, Hồi máu 15.</t>
  </si>
  <si>
    <t xml:space="preserve">5 vai và khoảng chỉ số</t>
  </si>
  <si>
    <t xml:space="preserve">Tank, Vật lý, Phép, Hỗ trợ, Sát thủ. Khoảng hệ số từng vai xem sheet KHUNG_VAI_TRÒ.</t>
  </si>
  <si>
    <t xml:space="preserve">Cách làm</t>
  </si>
  <si>
    <t xml:space="preserve">Cách lai: anh chốt khung vai trò, Claude điền số trong khung, anh sửa.</t>
  </si>
  <si>
    <t xml:space="preserve">Ngân sách skill</t>
  </si>
  <si>
    <t xml:space="preserve">100 điểm = ×2,0 công lên 1 mục tiêu = 20% máu chuẩn. Tank 60, Vật lý 100, Phép 110 (tối đa 120 ở 3 mục tiêu), Hỗ trợ 100, Sát thủ 90.</t>
  </si>
  <si>
    <t xml:space="preserve">Giả định sát thương = hồi = khiên ngang giá, chưa kiểm. Hiệu ứng trạng thái và buff chưa quy được ra điểm.</t>
  </si>
  <si>
    <t xml:space="preserve">7. Hiệu ứng trạng thái</t>
  </si>
  <si>
    <t xml:space="preserve">Ví dụ của anh</t>
  </si>
  <si>
    <t xml:space="preserve">Choáng (mất đòn, −20 nộ), Đóng băng (mất đòn, −10% tốc độ lượt sau), Điên tiết (+2% mọi chỉ số, thay cho 'nộ').</t>
  </si>
  <si>
    <t xml:space="preserve">Anh bảo bàn kỹ sau khi xong mô tả nhân vật.</t>
  </si>
  <si>
    <t xml:space="preserve">Do Claude thêm</t>
  </si>
  <si>
    <t xml:space="preserve">Khiêu khích, Làm chậm (−10% tốc độ, 1 lượt), Ngủ (mất đòn, tỉnh khi bị đánh).</t>
  </si>
  <si>
    <t xml:space="preserve">Ngủ chưa dùng ở demo.</t>
  </si>
  <si>
    <t xml:space="preserve">Thước đo quy đổi</t>
  </si>
  <si>
    <t xml:space="preserve">Quy theo % máu. Hướng đang nghiêng: quy ra % máu của một đơn vị chuẩn cùng phẩm chất, rồi kiểm lại bằng mô phỏng.</t>
  </si>
  <si>
    <t xml:space="preserve">Điên tiết (kéo dài 2 lượt, xác suất 10% ở skill Tính Tiền Hồi Phục Xanh dương): có cộng dồn không, máu hiện tại có tăng theo máu tối đa không. Thời lượng các hiệu ứng khác.</t>
  </si>
  <si>
    <t xml:space="preserve">8. Hình ảnh và chuyển động</t>
  </si>
  <si>
    <t xml:space="preserve">Người làm</t>
  </si>
  <si>
    <t xml:space="preserve">Anh tự làm hình song song với việc dựng game. Hình và hiệu ứng skill chỉnh sau được.</t>
  </si>
  <si>
    <t xml:space="preserve">Pose cần</t>
  </si>
  <si>
    <t xml:space="preserve">Chỉ chính diện, 1 bộ pose dùng chung cho cả 3 phẩm chất: đứng, ra skill, bị đánh, gục, cộng 1 ảnh thẻ. Không cần góc nghiêng, góc lưng.</t>
  </si>
  <si>
    <t xml:space="preserve">Quy cách</t>
  </si>
  <si>
    <t xml:space="preserve">PNG nền trong suốt 512×512, nhân vật khoảng 80% khung, chân chạm cùng một đường đáy ở mọi pose, không vẽ dính bóng, chữ, sao. Tạo cả dải pose trong một lần.</t>
  </si>
  <si>
    <t xml:space="preserve">Nếu không có nền trong suốt thì dùng nền phẳng một màu, tách nền bằng code chưa chắc đẹp.</t>
  </si>
  <si>
    <t xml:space="preserve">Mức khối lượng ảnh</t>
  </si>
  <si>
    <t xml:space="preserve">Mức 1 tối thiểu (khoảng 21 ảnh), mức 2 (khoảng 55), mức 3 (khoảng 90).</t>
  </si>
  <si>
    <t xml:space="preserve">Mặc định mức 1.</t>
  </si>
  <si>
    <t xml:space="preserve">Chuyển động</t>
  </si>
  <si>
    <t xml:space="preserve">Chuyển động bằng code kèm hiệu ứng che chỗ đổi ảnh (lùi lấy đà, lao tới, đổi ảnh lúc va chạm, rung khi bị đánh). Không phải hoạt hình thật.</t>
  </si>
  <si>
    <t xml:space="preserve">Cắt cứng giữa hai ảnh sẽ trông như robot.</t>
  </si>
  <si>
    <t xml:space="preserve">Hiệu ứng</t>
  </si>
  <si>
    <t xml:space="preserve">Ánh sáng, tia va chạm, số sát thương, sao choáng, Zzz, khiên dựng bằng code. Anh chỉ cần làm khối băng và biểu tượng khiêu khích nếu muốn đẹp hơn.</t>
  </si>
  <si>
    <t xml:space="preserve">Lưu ý chữ trên áo</t>
  </si>
  <si>
    <t xml:space="preserve">Nhân vật nữ đã tạo bị ra chữ GAMA thay vì GOMA ở cả 3 pose.</t>
  </si>
  <si>
    <t xml:space="preserve">Sửa tay hoặc tạo áo trơn rồi ghép logo bằng code.</t>
  </si>
  <si>
    <t xml:space="preserve">9. Vấn đề đang treo</t>
  </si>
  <si>
    <t xml:space="preserve">Chồng buff nhỏ thành rất mạnh</t>
  </si>
  <si>
    <t xml:space="preserve">Đo thử: Thủ kho Xanh dương bị 5 địch công 100 tập trung đánh (có khiêu khích), có khiên + nội tại hồi 1% mỗi đòn + Hỗ trợ hồi 22% thì sống hết 15 lượt, còn 78% máu. Địch công 140 thì chết ở lượt 15, nhưng thêm buff +20% mọi chỉ số thì còn 74%.</t>
  </si>
  <si>
    <t xml:space="preserve">Treo</t>
  </si>
  <si>
    <t xml:space="preserve">Nguyên nhân: vòng phản hồi (bị đánh nhiều thì hồi nhiều, nộ nhiều), khiêu khích dồn hết đòn về một người. Mô hình đơn giản (đòn nào cũng trúng, không chí mạng, địch không có choáng hay xuyên giáp).</t>
  </si>
  <si>
    <t xml:space="preserve">Hướng sửa chồng buff</t>
  </si>
  <si>
    <t xml:space="preserve">A: nội tại hồi theo đòn tối đa 2 lần mỗi lượt (còn 51%). B: trần hồi tổng mọi nguồn mỗi lượt (10% thì còn 52%, nhưng kẹp cả hồi skill). C: phản đòn từ địch (debuff giảm hồi, xuyên giáp, trùm). Kèm: buff % chỉ số chỉ áp lên công, tốc độ hoặc tối đa 5%.</t>
  </si>
  <si>
    <t xml:space="preserve">Anh chưa chọn. Claude nghiêng A cộng giới hạn buff, C cho trùm.</t>
  </si>
  <si>
    <t xml:space="preserve">Cách cân bằng</t>
  </si>
  <si>
    <t xml:space="preserve">Các con số trong file chỉ là HỖ TRỢ, chưa cân. Cách 1: script kiểm chồng buff. Cách 2: nâng mô phỏng đọc skill, chạy 5v5. Cách 3: cho người chơi thử, kèm vài núm chỉnh toàn cục (hệ số hồi, sát thương địch, trần hồi, trần buff).</t>
  </si>
  <si>
    <t xml:space="preserve">Anh chưa chọn. Claude nghiêng cách 3 kèm cách 1, cách 2 để dành cho đợt 24 giờ.</t>
  </si>
  <si>
    <t xml:space="preserve">Gacha đầy đủ</t>
  </si>
  <si>
    <t xml:space="preserve">Tỷ lệ từng phẩm chất, mảnh nâng cấp, bảo hiểm, cùng một người ở nhiều phẩm chất có vào chung đội không.</t>
  </si>
  <si>
    <t xml:space="preserve">Để ngồi tính riêng sau demo.</t>
  </si>
  <si>
    <t xml:space="preserve">Thêm 2 nhân vật</t>
  </si>
  <si>
    <t xml:space="preserve">Anh thêm HCM-PHỤ KHO ANH LÂM (NV09, Tank-Vật lý, hàng trước) và HCM- BÍCH THÍCH CHAN (NV11, Phép-Buff, hàng sau). Tổng 10 tướng. Mã NV10 đã bị xóa.</t>
  </si>
  <si>
    <t xml:space="preserve">Nhiều hơn 8 tướng demo ban đầu: thêm ảnh và nội dung, cần tính lại giờ.</t>
  </si>
  <si>
    <t xml:space="preserve">Hai vai kết hợp</t>
  </si>
  <si>
    <t xml:space="preserve">Tank-Vật lý: máu 1,1-1,3, công 0,8-1,0, thủ 1,1-1,4, tốc độ 0,8-0,95, ngân sách 120. Phép-Buff: máu 0,8-1,0, công 0,75-1,0, thủ 0,8-1,1, tốc độ 1,1-1,2, ngân sách 110.</t>
  </si>
  <si>
    <t xml:space="preserve">Anh xác nhận (khung do Claude đề xuất, sửa ở KHUNG_VAI_TRÒ nếu cần).</t>
  </si>
  <si>
    <t xml:space="preserve">Ru ngủ</t>
  </si>
  <si>
    <t xml:space="preserve">Mất 1 lượt đánh, giảm 5% tốc độ và giảm 5% tấn công của đối thủ (hiệu ứng bất lợi).</t>
  </si>
  <si>
    <t xml:space="preserve">Anh xác nhận: phần giảm 5% kéo dài 1 lượt. Hiệu ứng 'Ngủ' đề xuất cũ giữ lại, chưa dùng ở demo.</t>
  </si>
  <si>
    <t xml:space="preserve">Skill Anh Lâm (NV09)</t>
  </si>
  <si>
    <t xml:space="preserve">Gây ×2,0 / 2,2 / 2,4 công lên 1 địch hàng trước bất kỳ và 1 địch ngay sau (nếu có), Xanh dương thêm 10% choáng. Nội tại: 30% có Điên tiết (2 lượt) sau khi xả skill.</t>
  </si>
  <si>
    <t xml:space="preserve">Anh xác nhận ×2,0 / 2,2 / 2,4 áp cho MỖI mục tiêu (tổng 200 điểm ngân sách, cao hơn khung 120).</t>
  </si>
  <si>
    <t xml:space="preserve">Skill Bích Thích Chan (NV11)</t>
  </si>
  <si>
    <t xml:space="preserve">Gây ×1,0 / 1,2 / 1,5 công lên 2 địch ngẫu nhiên, có 20% / 22% / 25% Ru ngủ mục tiêu trúng. Nội tại (Xanh dương): 20% hồi sinh 1 đồng đội đã gục (còn 20% máu tối đa), chỉ 1 lần mỗi trận.</t>
  </si>
  <si>
    <t xml:space="preserve">Anh xác nhận: 'kill 2 kẻ địch' là gây sát thương; hồi sinh tung ở cuối lượt sau khi ra đòn.</t>
  </si>
  <si>
    <t xml:space="preserve">Mini-game để đợt sau</t>
  </si>
  <si>
    <t xml:space="preserve">Đợt này không có mini-game. Main đứng góc cổ vũ (chỉ là hình), có thể thêm khoảng 10 pose cho main nam và nữ (cổ vũ, khóc, hô hào...).</t>
  </si>
  <si>
    <t xml:space="preserve">Mini-game và buff của main chuyển sang đợt sau.</t>
  </si>
  <si>
    <t xml:space="preserve">Cốt truyện mở đầu</t>
  </si>
  <si>
    <t xml:space="preserve">Người chơi là nhân viên mới, bắt đầu với Thủ kho Hiếu (Trắng) đón tiếp và hướng dẫn. Lần rút đầu 100% ra tướng Trắng khác Hiếu, nên vào game có 2 tướng Trắng. Cần thiết kế intro dẫn truyện.</t>
  </si>
  <si>
    <t xml:space="preserve">Bối cảnh</t>
  </si>
  <si>
    <t xml:space="preserve">Gacha: cảnh họp và đề xuất nhân viên. Đi cảnh, đánh quái: kho thảm trải sàn (map 1).</t>
  </si>
  <si>
    <t xml:space="preserve">Cấu trúc màn</t>
  </si>
  <si>
    <t xml:space="preserve">3 map × 10 màn. Map 1 (1.1-1.10): xử lý kho thảm với chuột, mèo. Map 2 (2.1-2.10): phòng khách bàn hợp tác, gặp khách hàng (khách khó tính, trợ lý nam ác và nữ ác, chó dữ...). Map 3 (3.1-3.10): bàn dự án tại công ty khách (siêu giám đốc khó tính, trợ lý, bảo vệ...).</t>
  </si>
  <si>
    <t xml:space="preserve">Phạm vi làm tối nay chưa chốt (map 1 trước hay cả 3).</t>
  </si>
  <si>
    <t xml:space="preserve">Trận đầu và thưởng</t>
  </si>
  <si>
    <t xml:space="preserve">Trận đầu 2 chuột (Hiếu + 1 tướng, mô phỏng thắng 100% với cả 9 tướng rút ra). Thắng trận thưởng 3 lượt quay (số tạm).</t>
  </si>
  <si>
    <t xml:space="preserve">Claude đề xuất.</t>
  </si>
  <si>
    <t xml:space="preserve">Quái và boss (bản nháp)</t>
  </si>
  <si>
    <t xml:space="preserve">12 quái ở sheet QUÁI_BOSS và QUÁI_THÀNH_PHẦN: Q01 Chuột, Q02 Mèo hoang, Q03 Thảm mốc, Q04 Đại ca mèo (boss 1.10), Q05 Khách khó tính (2.5), Q06 Trợ lý nam ác, Q07 Trợ lý nữ ác, Q08 Chó dữ, Q09 Đối tác dự án lớn (boss 2.10), Q10 Bảo vệ, Q11 Siêu đối tác dự án (3.5), Q12 Siêu giám đốc khó tính (boss 3.10).</t>
  </si>
  <si>
    <t xml:space="preserve">Claude đề xuất, anh xem và sửa. Chưa rõ 'siêu đối tác dự án' và 'siêu giám đốc khó tính' là một hay hai quái.</t>
  </si>
  <si>
    <t xml:space="preserve">KHUNG VAI TRÒ (đã chốt với anh, số là điểm xuất phát)</t>
  </si>
  <si>
    <t xml:space="preserve">Hệ số tính trên 'chuẩn Trắng'. Sửa ô vàng thì CHỈ_SỐ_TRẮNG tự kiểm lại 'Ngoài khung / OK'.</t>
  </si>
  <si>
    <t xml:space="preserve">Máu</t>
  </si>
  <si>
    <t xml:space="preserve">Công</t>
  </si>
  <si>
    <t xml:space="preserve">Thủ</t>
  </si>
  <si>
    <t xml:space="preserve">Tốc độ</t>
  </si>
  <si>
    <t xml:space="preserve">Sức mạnh thô = Máu × (100 + Thủ)/100 × Công, chuẩn = 1,00.</t>
  </si>
  <si>
    <t xml:space="preserve">Vai trò</t>
  </si>
  <si>
    <t xml:space="preserve">Máu min (×)</t>
  </si>
  <si>
    <t xml:space="preserve">Máu max (×)</t>
  </si>
  <si>
    <t xml:space="preserve">Công min (×)</t>
  </si>
  <si>
    <t xml:space="preserve">Công max (×)</t>
  </si>
  <si>
    <t xml:space="preserve">Thủ min (×)</t>
  </si>
  <si>
    <t xml:space="preserve">Thủ max (×)</t>
  </si>
  <si>
    <t xml:space="preserve">Tốc độ min (×)</t>
  </si>
  <si>
    <t xml:space="preserve">Tốc độ max (×)</t>
  </si>
  <si>
    <t xml:space="preserve">Kiểu skill</t>
  </si>
  <si>
    <t xml:space="preserve">Ngân sách mỗi lần xả (điểm)</t>
  </si>
  <si>
    <t xml:space="preserve">Tank</t>
  </si>
  <si>
    <t xml:space="preserve">khiên, hồi, giảm sát thương, khiêu khích</t>
  </si>
  <si>
    <t xml:space="preserve">Xả nhiều hơn hàng sau, mỗi lần nhẹ hơn.</t>
  </si>
  <si>
    <t xml:space="preserve">Vật lý</t>
  </si>
  <si>
    <t xml:space="preserve">1 mục tiêu, dame lớn</t>
  </si>
  <si>
    <t xml:space="preserve">100 điểm = ×2,0 công lên 1 mục tiêu.</t>
  </si>
  <si>
    <t xml:space="preserve">Phép</t>
  </si>
  <si>
    <t xml:space="preserve">2 đến toàn bộ mục tiêu, dame nhỏ + hiệu ứng nhẹ</t>
  </si>
  <si>
    <t xml:space="preserve">Tổng tối đa = 100 + 10 điểm mỗi mục tiêu thêm.</t>
  </si>
  <si>
    <t xml:space="preserve">Hỗ trợ</t>
  </si>
  <si>
    <t xml:space="preserve">hồi, buff, hồi nộ</t>
  </si>
  <si>
    <t xml:space="preserve">Sức mạnh thô thấp có chủ ý, bù bằng giá trị skill.</t>
  </si>
  <si>
    <t xml:space="preserve">Sát thủ</t>
  </si>
  <si>
    <t xml:space="preserve">1 mục tiêu hàng sau hoặc máu thấp</t>
  </si>
  <si>
    <t xml:space="preserve">Tốc độ cao, mong manh.</t>
  </si>
  <si>
    <t xml:space="preserve">Tank-Vật lý</t>
  </si>
  <si>
    <t xml:space="preserve">2 mục tiêu liền nhau (hàng trước + ngay sau), dame vừa + choáng, tự buff Điên tiết</t>
  </si>
  <si>
    <t xml:space="preserve">Lai Tank và Vật lý. Anh đã xác nhận.</t>
  </si>
  <si>
    <t xml:space="preserve">Phép-Buff</t>
  </si>
  <si>
    <t xml:space="preserve">2 mục tiêu, dame nhỏ + khống chế (Ru ngủ), nội tại hồi sinh</t>
  </si>
  <si>
    <t xml:space="preserve">Lai Phép và khống chế/hỗ trợ. Anh đã xác nhận.</t>
  </si>
  <si>
    <t xml:space="preserve">Ngân sách: 1 điểm = 1% máu chuẩn (100 điểm = 20% máu chuẩn = 200 sát thương). Quy đổi sát thương, hồi, khiên ngang giá là GIẢ ĐỊNH, chưa kiểm bằng mô phỏng.</t>
  </si>
  <si>
    <t xml:space="preserve">Hiệu ứng trạng thái, buff, hồi nộ chưa quy đổi được ra điểm, KIỂM_NGÂN_SÁCH chỉ đếm số thành phần chưa tính.</t>
  </si>
  <si>
    <t xml:space="preserve">NHÂN VẬT – danh sách tướng</t>
  </si>
  <si>
    <t xml:space="preserve">8 dòng đầu đã đặt sẵn vai trò theo khung, tên là TẠM (anh đổi). Tên chỉ gõ ở đây, các sheet khác tự lấy.</t>
  </si>
  <si>
    <t xml:space="preserve">Mã NV</t>
  </si>
  <si>
    <t xml:space="preserve">Tên nhân vật</t>
  </si>
  <si>
    <t xml:space="preserve">Tên hiển thị trong game</t>
  </si>
  <si>
    <t xml:space="preserve">Vai trò chiến đấu</t>
  </si>
  <si>
    <t xml:space="preserve">Hàng đứng ưu tiên</t>
  </si>
  <si>
    <t xml:space="preserve">Tiểu sử ngắn</t>
  </si>
  <si>
    <t xml:space="preserve">Câu thoại khi xả skill</t>
  </si>
  <si>
    <t xml:space="preserve">NV01</t>
  </si>
  <si>
    <t xml:space="preserve">HCM-THỦ KHO HIẾU</t>
  </si>
  <si>
    <t xml:space="preserve">Hàng trước</t>
  </si>
  <si>
    <t xml:space="preserve">THỦ KHO VÀO LÀM ĐỦ 2 NĂM , GÌ CŨNG BIẾT CHỈ LÀ BIẾT KHÔNG SÂU , LẦM LẦM LÌ LÌ MÀ LẠI HAY QUÊN</t>
  </si>
  <si>
    <t xml:space="preserve">HUYNH ĐỆ À - CỨ BÌNH TỈNH ĐI ĐÓ MÀ</t>
  </si>
  <si>
    <t xml:space="preserve">NV02</t>
  </si>
  <si>
    <t xml:space="preserve">HN-PHỤ KHO HƯNG</t>
  </si>
  <si>
    <t xml:space="preserve">THANH NIÊN LÀM LÂU NĂM , SỨC DÀI VAI RỘNG ,19 TUỔI VỚI KHUÔN MẶT CỦA KẺ 30 TUỔI , QUY TẮC VÀNG LÀM 5 LẦN ẮT SẼ SAI ÍT NHẤT 1 LẦN ,SAI LẦN NÀO THÌ CHƯA BIẾT THÔI </t>
  </si>
  <si>
    <t xml:space="preserve">CÓ GÌ CỨ ĐÁNH TUI , MÀ NHỚ CHỪA MẶT TUI RA NHA</t>
  </si>
  <si>
    <t xml:space="preserve">NV03</t>
  </si>
  <si>
    <t xml:space="preserve">HCM-PHỤ KHO VŨ</t>
  </si>
  <si>
    <t xml:space="preserve">Hàng sau</t>
  </si>
  <si>
    <t xml:space="preserve">MỚI VÀO LÀM ĐƯỢC VÀI THÁNG ,GÌ CŨNG CHƯA BIẾT , NHIỆT TÌNH NHƯNG HAY NHIỆT TÌNH NHẦM CHỖ ,SAI NHIỀU MÀ ĐÚNG CŨNG NHIỀU</t>
  </si>
  <si>
    <t xml:space="preserve">TẤT CẢ TRÁNH RA - ĐỂ TA LO TẤT</t>
  </si>
  <si>
    <t xml:space="preserve">NV04</t>
  </si>
  <si>
    <t xml:space="preserve">HCM-SALE THẢO</t>
  </si>
  <si>
    <t xml:space="preserve">SALE LÀM CŨNG HƠN 1 NĂM , CHỐT ĐƠN CŨNG NHIỀU MÀ TẠCH CŨNG QUÁ TRỜI , LÀ SALE ANH CẢ TRONG CHI NHÁNH HCM , HAY CƯỜI HÌ HÌ , LÀM VIỆC RẤT NGUYÊN TẮC .</t>
  </si>
  <si>
    <t xml:space="preserve">CHO XIN TÍ HUYẾT VỀ XÀO VỚI GIÁ NHÉ BẠN HIỀN</t>
  </si>
  <si>
    <t xml:space="preserve">NV05</t>
  </si>
  <si>
    <t xml:space="preserve">HCM-SALE DƯƠNG</t>
  </si>
  <si>
    <t xml:space="preserve">SALE LÀM HƠN 1 NĂM , NHIỆT TÌNH ,TƯ VẤN KHÁCH BẤT CHẤP NGÀY GIỜ HAY NẮNG MƯA , CHẬM NHƯNG HAY ĂN CHẮC ,CHỐT TOÀN ĐƠN NGON</t>
  </si>
  <si>
    <t xml:space="preserve">CHẾT MÀY NÈ !!!! Ý Ý XIN LỖI</t>
  </si>
  <si>
    <t xml:space="preserve">NV06</t>
  </si>
  <si>
    <t xml:space="preserve">HCM-SALE DUYÊN</t>
  </si>
  <si>
    <t xml:space="preserve">LÀ 1 NGƯỜI NĂNG ĐỘNG ,CA HÁT NHÃY MÚA ĐỀU THÔNG THẠO , SỐ HƠI XUI ,ĐƠN CHỐT CHƯA NHIỀU "TOÀN GẶP ÂM BINH "</t>
  </si>
  <si>
    <t xml:space="preserve">CỨ ĐÁNH TẸT GA ,TRÀ CHIỀU ĐỂ CHỊ LO TẤT .</t>
  </si>
  <si>
    <t xml:space="preserve">NV07</t>
  </si>
  <si>
    <t xml:space="preserve">HCM-KẾ TOÁN THU</t>
  </si>
  <si>
    <t xml:space="preserve">LÀ NHÂN VẬT KHÁ LÂU NĂM TRONG CÔNG TY ,LÀM KẾ TOÁN CHI NHÁNH HCM , AI CŨNG PHẢI QUA TAY CÔ NÀNG , BIẾT ĐIỀU THÌ MỚI XUÔNG ĐƯỢC , À ĐANG GIẢM CÂN ,BỚT DỤ ĐỒ ĂN NHÉ .</t>
  </si>
  <si>
    <t xml:space="preserve">ANH EM CỨ CHIẾN , CHỌC ĐIÊN THÌ ĐỂ CHỊ LO.</t>
  </si>
  <si>
    <t xml:space="preserve">NV08</t>
  </si>
  <si>
    <t xml:space="preserve">HCM-SALE NHÂN</t>
  </si>
  <si>
    <t xml:space="preserve">BEST SALE HCM , CHIỀU KHÁCH VÔ ĐỐI NHƯNG CHỐT ĐƠN CŨNG HOÀNH TRÁNG ,ĐƠN TO LÀ ANH CÓ MẶT </t>
  </si>
  <si>
    <t xml:space="preserve">ANH BẠN À , HỞ SƯỜN RỒI KÌA HẸ HẸ !</t>
  </si>
  <si>
    <t xml:space="preserve">NV09</t>
  </si>
  <si>
    <t xml:space="preserve">HCM-PHỤ KHO ANH LÂM</t>
  </si>
  <si>
    <t xml:space="preserve">TANK-VẬT LÝ</t>
  </si>
  <si>
    <t xml:space="preserve">TỔ TRƯỞNG KHO , LÀ 1 NHÂN VẬT LÂU NĂM TẠI KHO HCM , BIẾT NHIỀU THỨ MÀ KHÔNG PHẢI AI CŨNG BIẾT , CHỈ LÀ LỚN TUỔI MẮT YẾU VÀ HAY QUÊN .</t>
  </si>
  <si>
    <t xml:space="preserve">TẤT CẢ TRÁNH RA XE NÂNG ĐẾN RỒI ĐÂY</t>
  </si>
  <si>
    <t xml:space="preserve">NV11</t>
  </si>
  <si>
    <t xml:space="preserve">HCM- BÍCH THÍCH CHAN</t>
  </si>
  <si>
    <t xml:space="preserve">Phép-BUFF</t>
  </si>
  <si>
    <t xml:space="preserve">THANH NIÊN VÀO LÀM VỚI CHỨC VỤ THIẾT KẾ NHƯNG LẠI RẤT THÍCH CỰ VÀ GÂY THÙ CHUỐC OÁNH ( HAY CÒN GỌI LÀ CHAN ) , ĐỪNG CÓ XÍCH MÍT VỚI Ả NHÉ , SỐNG KHÔNG THỌ ĐÂU</t>
  </si>
  <si>
    <t xml:space="preserve">TẤT CẢ CHỈ LÀ HIỂU LẦM THÔI , NGỦ ĐI BÉ BÌ À.</t>
  </si>
  <si>
    <t xml:space="preserve">THÊM 1 TRẠNG THÁI MỚI LÀ RU NGỦ ( BUFF CHO ĐỐI THỦ DẠNG BẤT LỢI , MẤT 1 LƯỢT ĐÁNH, GIẢM 5% TỐC ĐỘ VÀ GIẢM 5% TẤN CÔNG CỦA ĐỐI THỦ )</t>
  </si>
  <si>
    <t xml:space="preserve">NV12</t>
  </si>
  <si>
    <t xml:space="preserve">NV13</t>
  </si>
  <si>
    <t xml:space="preserve">NV14</t>
  </si>
  <si>
    <t xml:space="preserve">NV15</t>
  </si>
  <si>
    <t xml:space="preserve">NV16</t>
  </si>
  <si>
    <t xml:space="preserve">NV17</t>
  </si>
  <si>
    <t xml:space="preserve">NV18</t>
  </si>
  <si>
    <t xml:space="preserve">NV19</t>
  </si>
  <si>
    <t xml:space="preserve">NV20</t>
  </si>
  <si>
    <t xml:space="preserve">NV21</t>
  </si>
  <si>
    <t xml:space="preserve">NV22</t>
  </si>
  <si>
    <t xml:space="preserve">NV23</t>
  </si>
  <si>
    <t xml:space="preserve">NV24</t>
  </si>
  <si>
    <t xml:space="preserve">NV25</t>
  </si>
  <si>
    <t xml:space="preserve">NV26</t>
  </si>
  <si>
    <t xml:space="preserve">NV27</t>
  </si>
  <si>
    <t xml:space="preserve">NV28</t>
  </si>
  <si>
    <t xml:space="preserve">NV29</t>
  </si>
  <si>
    <t xml:space="preserve">NV30</t>
  </si>
  <si>
    <t xml:space="preserve">CHỈ SỐ GỐC – phẩm chất TRẮNG (Claude sinh nháp theo khung vai trò, anh sửa)</t>
  </si>
  <si>
    <t xml:space="preserve">Cột N, O tự tính: sức mạnh thô và kiểm có nằm trong khung vai trò không. Tỷ lệ gõ dạng % (ví dụ 3%).</t>
  </si>
  <si>
    <t xml:space="preserve">Hồi máu / lượt</t>
  </si>
  <si>
    <t xml:space="preserve">Né (%)</t>
  </si>
  <si>
    <t xml:space="preserve">Chính xác (%)</t>
  </si>
  <si>
    <t xml:space="preserve">Tỷ lệ chí mạng (%)</t>
  </si>
  <si>
    <t xml:space="preserve">Sát thương chí mạng (%)</t>
  </si>
  <si>
    <t xml:space="preserve">Kháng chí mạng (%)</t>
  </si>
  <si>
    <t xml:space="preserve">Sức mạnh thô (×chuẩn)</t>
  </si>
  <si>
    <t xml:space="preserve">Kiểm khung vai trò</t>
  </si>
  <si>
    <t xml:space="preserve">HỆ SỐ THEO PHẨM CHẤT (SỐ GIẢ do Claude đặt tạm)</t>
  </si>
  <si>
    <t xml:space="preserve">Bản demo chỉ dùng 3 dòng đầu (Trắng, Xanh lá, Xanh dương). Tím và Đỏ để sau.</t>
  </si>
  <si>
    <t xml:space="preserve">Phẩm chất</t>
  </si>
  <si>
    <t xml:space="preserve">Màu hiển thị</t>
  </si>
  <si>
    <t xml:space="preserve">Hệ số Máu (×)</t>
  </si>
  <si>
    <t xml:space="preserve">Hệ số Công (×)</t>
  </si>
  <si>
    <t xml:space="preserve">Hệ số Thủ (×)</t>
  </si>
  <si>
    <t xml:space="preserve">Hệ số Hồi máu (×)</t>
  </si>
  <si>
    <t xml:space="preserve">Cộng Tốc độ (điểm)</t>
  </si>
  <si>
    <t xml:space="preserve">Cộng Né (điểm %)</t>
  </si>
  <si>
    <t xml:space="preserve">Cộng Chính xác (điểm %)</t>
  </si>
  <si>
    <t xml:space="preserve">Cộng Tỷ lệ chí mạng (điểm %)</t>
  </si>
  <si>
    <t xml:space="preserve">Cộng Sát thương chí mạng (điểm %)</t>
  </si>
  <si>
    <t xml:space="preserve">Cộng Kháng chí mạng (điểm %)</t>
  </si>
  <si>
    <t xml:space="preserve">Trắng</t>
  </si>
  <si>
    <t xml:space="preserve">số giả</t>
  </si>
  <si>
    <t xml:space="preserve">Xanh lá</t>
  </si>
  <si>
    <t xml:space="preserve">Xanh dương</t>
  </si>
  <si>
    <t xml:space="preserve">Tím</t>
  </si>
  <si>
    <t xml:space="preserve">số giả (chưa dùng ở demo)</t>
  </si>
  <si>
    <t xml:space="preserve">Đỏ</t>
  </si>
  <si>
    <t xml:space="preserve">Máu, Công, Thủ, Hồi máu = chỉ số Trắng × hệ số. Các chỉ số còn lại = chỉ số Trắng + điểm cộng.</t>
  </si>
  <si>
    <t xml:space="preserve">Tốc độ cộng nhỏ để 8 tướng demo không trùng tốc độ giữa các phẩm chất (gacha ẩn chỉ chạy khi trùng chính xác).</t>
  </si>
  <si>
    <t xml:space="preserve">CHỈ SỐ TỪNG PHẨM CHẤT (TỰ TÍNH)</t>
  </si>
  <si>
    <t xml:space="preserve">Ô xanh nhạt là công thức. Muốn chỉnh tay một ô thì gõ đè. Demo dùng 3 dòng đầu mỗi tướng (Trắng, Xanh lá, Xanh dương).</t>
  </si>
  <si>
    <t xml:space="preserve">Cảnh báo</t>
  </si>
  <si>
    <t xml:space="preserve">SKILL VÀ NỘI TẠI – tên và mô tả (phần 'gia vị' của anh)</t>
  </si>
  <si>
    <t xml:space="preserve">Tên ở đây là TẠM, anh đặt lại. Cột 'Mô tả cơ chế' do Claude soạn theo bảng thành phần (số Trắng), viết lại nếu anh đổi số. Anh viết cột Gia vị.</t>
  </si>
  <si>
    <t xml:space="preserve">Loại</t>
  </si>
  <si>
    <t xml:space="preserve">Tên (tạm)</t>
  </si>
  <si>
    <t xml:space="preserve">Mô tả cơ chế (số của bản Trắng)</t>
  </si>
  <si>
    <t xml:space="preserve">Mô tả cơ chế (số của bản Xanh Lá)</t>
  </si>
  <si>
    <t xml:space="preserve">Mô tả cơ chế (số của bản Xanh dương)</t>
  </si>
  <si>
    <t xml:space="preserve">Gia vị / liên hệ với nhân vật ngoài đời (anh viết)</t>
  </si>
  <si>
    <t xml:space="preserve">Skill nộ</t>
  </si>
  <si>
    <t xml:space="preserve">Khiên Kho</t>
  </si>
  <si>
    <t xml:space="preserve">Đủ 100 nộ: tạo khiên 10% máu tối đa của bản thân, kéo dài 2 lượt.</t>
  </si>
  <si>
    <t xml:space="preserve">Đủ 100 nộ: tạo khiên 12% máu tối đa của bản thân, kéo dài 2 lượt.</t>
  </si>
  <si>
    <t xml:space="preserve">Đủ 100 nộ: tạo khiên 15% máu tối đa của bản thân, kéo dài 2 lượt.</t>
  </si>
  <si>
    <t xml:space="preserve">THỦ KHO THÍCH CÔNG NGHỆ NHƯNG HAY QUÊN</t>
  </si>
  <si>
    <t xml:space="preserve">Nội tại</t>
  </si>
  <si>
    <t xml:space="preserve">Hồi Sức Kho</t>
  </si>
  <si>
    <t xml:space="preserve">Mở từ Xanh dương: mỗi lần bị đánh trúng, hồi 1% máu tối đa.</t>
  </si>
  <si>
    <t xml:space="preserve">Tiếng Gọi Cửa Kho</t>
  </si>
  <si>
    <t xml:space="preserve">Đủ 100 nộ: khiêu khích 1 lượt (địch buộc đánh người này) và tạo khiên 7% máu tối đa, 2 lượt.</t>
  </si>
  <si>
    <t xml:space="preserve">Đủ 100 nộ: khiêu khích 1 lượt (địch buộc đánh người này) và tạo khiên 9% máu tối đa, 2 lượt.</t>
  </si>
  <si>
    <t xml:space="preserve">Đủ 100 nộ: khiêu khích 1 lượt (địch buộc đánh người này) và tạo khiên 11% máu tối đa, 2 lượt.</t>
  </si>
  <si>
    <t xml:space="preserve">THỦ KHO TẠI HÀ NỘI , TOÀN NĂNG NHƯNG YẾU CÔNG NGHỆ</t>
  </si>
  <si>
    <t xml:space="preserve">Gai Thép</t>
  </si>
  <si>
    <t xml:space="preserve">Mở từ Xanh dương: khi bị đánh trúng, phản 20% sát thương nhận vào.</t>
  </si>
  <si>
    <t xml:space="preserve">Nhát Cắt Dứt Điểm</t>
  </si>
  <si>
    <t xml:space="preserve">Đủ 100 nộ: gây ×2,0 công lên 1 địch.</t>
  </si>
  <si>
    <t xml:space="preserve">Đủ 100 nộ: gây ×2,2 công lên 1 địch.</t>
  </si>
  <si>
    <t xml:space="preserve">Đủ 100 nộ: gây ×2,4 công lên 1 địch. Xanh dương: thêm 10% xác suất choáng.</t>
  </si>
  <si>
    <t xml:space="preserve">PHỤ KHO SIÊNG NĂNG NHƯNG LÂU LÂU PHẢI NGỪNG LẠI VÀI PHÚT ĐỂ ….LOAD</t>
  </si>
  <si>
    <t xml:space="preserve">Anh chốt ×2,4 ở Xanh dương (trước gõ nhầm ×2,2).</t>
  </si>
  <si>
    <t xml:space="preserve">Máu Chiến</t>
  </si>
  <si>
    <t xml:space="preserve">Mở từ Xanh dương: hạ gục địch thì hồi 20 nộ.</t>
  </si>
  <si>
    <t xml:space="preserve">Cú Đập Cuộn Thảm</t>
  </si>
  <si>
    <t xml:space="preserve">Đủ 100 nộ: gây ×2,0 công lên 1 địch. Xanh dương: thêm 10% xác suất đóng băng.</t>
  </si>
  <si>
    <t xml:space="preserve">Đủ 100 nộ: gây ×2,2 công lên 1 địch .</t>
  </si>
  <si>
    <t xml:space="preserve">Đủ 100 nộ: gây ×2,4 công lên 1 địch. Xanh dương: thêm 10% xác suất đóng băng.</t>
  </si>
  <si>
    <t xml:space="preserve">PHỤ KHO KHỎE MẠNH NHƯNG LẠI CÓ SỞ THÍCH CẮN RÁCH ÁO </t>
  </si>
  <si>
    <t xml:space="preserve">Hứng Khởi</t>
  </si>
  <si>
    <t xml:space="preserve">Mở từ Xanh dương: khi xả skill, +15% công trong 2 lượt.</t>
  </si>
  <si>
    <t xml:space="preserve">Bão Bụi Thảm</t>
  </si>
  <si>
    <t xml:space="preserve">Đủ 100 nộ: gây ×1,10 công lên 2 địch ngẫu nhiên (Xanh dương: 3 địch). Xanh lá trở lên: thêm xác suất 10% đóng băng kẻ địch làm chậm.</t>
  </si>
  <si>
    <t xml:space="preserve">Đủ 100 nộ: gây ×1,2 công lên 2 địch ngẫu nhiên và có sác xuất 10% giảm 10% tốc độ địch.</t>
  </si>
  <si>
    <t xml:space="preserve">Đủ 100 nộ: gây ×1,3 công lên 3 địch ngẫu nhiên đồng thời có xác suất 10% đóng băng kẻ địch .</t>
  </si>
  <si>
    <t xml:space="preserve">Hít Sâu</t>
  </si>
  <si>
    <t xml:space="preserve">Mở từ Xanh dương: có sác xuất 20% hồi 5% máu tối đa cho 1 đồng đội bất kỳ .</t>
  </si>
  <si>
    <t xml:space="preserve">Anh chốt: tung 20% ở cuối lượt, sau khi ra đòn.</t>
  </si>
  <si>
    <t xml:space="preserve">Tính Tiền Hồi Phục</t>
  </si>
  <si>
    <t xml:space="preserve">Đủ 100 nộ: hồi 18% máu tối đa của người nhận cho đồng đội có % máu thấp nhất.</t>
  </si>
  <si>
    <t xml:space="preserve">Đủ 100 nộ: hồi 22% máu tối đa của người nhận cho đồng đội có % máu thấp nhất.</t>
  </si>
  <si>
    <t xml:space="preserve">Đủ 100 nộ: hồi 22% máu tối đa của người nhận cho đồng đội có % máu thấp nhất. Đồng thời có sác xuất 10% buff trạng thái Điên tiết cho đồng đội đó .</t>
  </si>
  <si>
    <t xml:space="preserve">Điên tiết 2 lượt: lượt hiện tại tính là lượt thứ nhất (đã ra đòn rồi thì mất 1 lượt, chưa thì lượt này + lượt kế).</t>
  </si>
  <si>
    <t xml:space="preserve">Tiếp Sức</t>
  </si>
  <si>
    <t xml:space="preserve">Mở từ Xanh dương: đầu mỗi lượt, +5 nộ cho đồng đội nộ thấp nhất.</t>
  </si>
  <si>
    <t xml:space="preserve">Lời Cổ Vũ Đầu Giờ</t>
  </si>
  <si>
    <t xml:space="preserve">Đủ 100 nộ: cả đội +15% công trong 2 lượt.</t>
  </si>
  <si>
    <t xml:space="preserve">Đủ 100 nộ: cả đội +17% công trong 2 lượt.</t>
  </si>
  <si>
    <t xml:space="preserve">Đủ 100 nộ: cả đội +20% công trong 2 lượt.</t>
  </si>
  <si>
    <t xml:space="preserve">Đồng Cam</t>
  </si>
  <si>
    <t xml:space="preserve">Mở từ Xanh dương: khi đồng đội gục, cả đội +10 nộ.</t>
  </si>
  <si>
    <t xml:space="preserve">Mũi Dao Sau Lưng</t>
  </si>
  <si>
    <t xml:space="preserve">Đủ 100 nộ: gây ×1,70 công lên 1 địch hàng sau ngẫu nhiên. Xanh dương: trừ thêm 20 nộ mục tiêu.</t>
  </si>
  <si>
    <t xml:space="preserve">Đủ 100 nộ: gây ×1,8 công lên 1 địch hàng sau ngẫu nhiên.</t>
  </si>
  <si>
    <t xml:space="preserve">Đủ 100 nộ: gây ×1,85 công lên 1 địch hàng sauđồng thời có 50% sác xuất trừ thêm 20 nộ mục tiêu.</t>
  </si>
  <si>
    <t xml:space="preserve">Chốt Hạ</t>
  </si>
  <si>
    <t xml:space="preserve">Mở từ Xanh dương: đánh trúng mục tiêu máu dưới 30% thì +20% sát thương và nếu dứt điểm mục tiêu sẽ hồi thêm 50 nộ .</t>
  </si>
  <si>
    <t xml:space="preserve">Hồi 50 nộ chỉ khi SKILL NỘ hạ gục, đòn thường thì không (anh chốt).</t>
  </si>
  <si>
    <t xml:space="preserve">Xe Nâng Đến Rồi</t>
  </si>
  <si>
    <t xml:space="preserve">Đủ 100 nộ: gây ×2,0 công lên 1 địch hàng trước bất kỳ và 1 địch ngay sau ( nếu có )</t>
  </si>
  <si>
    <t xml:space="preserve">Đủ 100 nộ: gây ×2,2 công lên 1 địch hàng trước bất kỳ và 1 địch ngay sau ( nếu có )</t>
  </si>
  <si>
    <t xml:space="preserve">Đủ 100 nộ: gây ×2,4 công lên 1 địch hàng trước bất kỳ và 1 địch ngay sau ( nếu có ) . Có 10% gây choáng.</t>
  </si>
  <si>
    <t xml:space="preserve">Nóng Máu</t>
  </si>
  <si>
    <t xml:space="preserve">có 30% xuất hiện hiệu ứng Điên tiết sau khi xã skill ( hiệu ứng Điên tiết sẽ có hiệu lực trong 2 lượt )</t>
  </si>
  <si>
    <t xml:space="preserve">Ru Bé Ngủ</t>
  </si>
  <si>
    <t xml:space="preserve">Đủ 100 nộ: kill 2 kẻ địch bất kỳ x1,0 và có 20% Ru ngủ địch trúng chiêu </t>
  </si>
  <si>
    <t xml:space="preserve">Đủ 100 nộ: kill 2 kẻ địch bất kỳ x1,2 và có 22% Ru ngủ địch trúng chiêu </t>
  </si>
  <si>
    <t xml:space="preserve">Đủ 100 nộ: kill 2 kẻ địch bất kỳ x1,5 và có 25% Ru ngủ địch trúng chiêu </t>
  </si>
  <si>
    <t xml:space="preserve">Hồi Hồn</t>
  </si>
  <si>
    <t xml:space="preserve">có 20 % hồi sinh 1 đồng đội đã chết bất kỳ ( đồng đội được hồi sinh thành công sẽ còn 20% máu tối đa của đồng đội đó và hiệu ứng hồi sinh thành công chỉ có hiệu lực 1 lần trong 1 trận đấu ).</t>
  </si>
  <si>
    <t xml:space="preserve">SKILL_THÀNH_PHẦN – cơ chế thật của skill nộ và nội tại (mỗi thành phần 1 dòng). SỐ NHÁP, chưa cân</t>
  </si>
  <si>
    <t xml:space="preserve">Bỏ trống ô Trắng/Xanh lá/Xanh dương nếu thành phần chưa mở ở bậc đó. Xác suất để trống = 100%, 0% = tắt ở bậc đó. Số mục tiêu để trống = 1. Cột điểm ngân sách tự tính.</t>
  </si>
  <si>
    <t xml:space="preserve">Thuộc</t>
  </si>
  <si>
    <t xml:space="preserve">Kích hoạt khi</t>
  </si>
  <si>
    <t xml:space="preserve">Mở từ phẩm chất</t>
  </si>
  <si>
    <t xml:space="preserve">Loại hiệu ứng</t>
  </si>
  <si>
    <t xml:space="preserve">Mục tiêu</t>
  </si>
  <si>
    <t xml:space="preserve">Số mục tiêu – Trắng</t>
  </si>
  <si>
    <t xml:space="preserve">Số mục tiêu – Xanh lá</t>
  </si>
  <si>
    <t xml:space="preserve">Số mục tiêu – Xanh dương</t>
  </si>
  <si>
    <t xml:space="preserve">Đơn vị độ lớn</t>
  </si>
  <si>
    <t xml:space="preserve">Độ lớn – Trắng</t>
  </si>
  <si>
    <t xml:space="preserve">Độ lớn – Xanh lá</t>
  </si>
  <si>
    <t xml:space="preserve">Độ lớn – Xanh dương</t>
  </si>
  <si>
    <t xml:space="preserve">Xác suất – Trắng</t>
  </si>
  <si>
    <t xml:space="preserve">Xác suất – Xanh lá</t>
  </si>
  <si>
    <t xml:space="preserve">Xác suất – Xanh dương</t>
  </si>
  <si>
    <t xml:space="preserve">Thời lượng (lượt)</t>
  </si>
  <si>
    <t xml:space="preserve">Hiệu ứng trạng thái</t>
  </si>
  <si>
    <t xml:space="preserve">Điểm ngân sách – Trắng</t>
  </si>
  <si>
    <t xml:space="preserve">Điểm ngân sách – Xanh lá</t>
  </si>
  <si>
    <t xml:space="preserve">Điểm ngân sách – Xanh dương</t>
  </si>
  <si>
    <t xml:space="preserve">Đủ 100 nộ (skill nộ)</t>
  </si>
  <si>
    <t xml:space="preserve">Bản thân</t>
  </si>
  <si>
    <t xml:space="preserve">% máu tối đa của người xả</t>
  </si>
  <si>
    <t xml:space="preserve">Số theo SKILL_MÔ_TẢ của anh.</t>
  </si>
  <si>
    <t xml:space="preserve">Khi bị đánh trúng (không né)</t>
  </si>
  <si>
    <t xml:space="preserve">% máu tối đa của người nhận</t>
  </si>
  <si>
    <t xml:space="preserve">Tank bị nhiều đòn thì hồi theo số đòn.</t>
  </si>
  <si>
    <t xml:space="preserve">Gây trạng thái</t>
  </si>
  <si>
    <t xml:space="preserve">Địch buộc đánh người này (đòn thường và skill 1 mục tiêu).</t>
  </si>
  <si>
    <t xml:space="preserve">Phản sát thương</t>
  </si>
  <si>
    <t xml:space="preserve">% sát thương nhận vào</t>
  </si>
  <si>
    <t xml:space="preserve">Sát thương</t>
  </si>
  <si>
    <t xml:space="preserve">1 địch (hàng trước trước, random trong hàng)</t>
  </si>
  <si>
    <t xml:space="preserve">× Công của người xả</t>
  </si>
  <si>
    <t xml:space="preserve">Anh chốt ×2,0 / 2,2 / 2,4.</t>
  </si>
  <si>
    <t xml:space="preserve">Cùng mục tiêu với thành phần 1</t>
  </si>
  <si>
    <t xml:space="preserve">Choáng</t>
  </si>
  <si>
    <t xml:space="preserve">Khi hạ gục địch</t>
  </si>
  <si>
    <t xml:space="preserve">Hồi nộ</t>
  </si>
  <si>
    <t xml:space="preserve">Điểm nộ</t>
  </si>
  <si>
    <t xml:space="preserve">Đóng băng</t>
  </si>
  <si>
    <t xml:space="preserve">Khi xả skill</t>
  </si>
  <si>
    <t xml:space="preserve">Buff chỉ số</t>
  </si>
  <si>
    <t xml:space="preserve">% chỉ số (buff/debuff)</t>
  </si>
  <si>
    <t xml:space="preserve">+Công bản thân.</t>
  </si>
  <si>
    <t xml:space="preserve">Địch ngẫu nhiên (nhiều mục tiêu)</t>
  </si>
  <si>
    <t xml:space="preserve">Mỗi mục tiêu. Tổng: 2,2 / 2,4 / 3,9 công.</t>
  </si>
  <si>
    <t xml:space="preserve">Làm chậm</t>
  </si>
  <si>
    <t xml:space="preserve">Chỉ ở Xanh lá. Xanh dương đổi sang Đóng băng (0% = tắt). Mỗi mục tiêu xét riêng.</t>
  </si>
  <si>
    <t xml:space="preserve">Mỗi mục tiêu xét riêng.</t>
  </si>
  <si>
    <t xml:space="preserve">Cuối lượt (sau khi ra đòn)</t>
  </si>
  <si>
    <t xml:space="preserve">1 đồng đội ngẫu nhiên</t>
  </si>
  <si>
    <t xml:space="preserve">Đồng đội % máu thấp nhất</t>
  </si>
  <si>
    <t xml:space="preserve">Điên tiết</t>
  </si>
  <si>
    <t xml:space="preserve">2 lượt (anh chốt). Lượt hiện tại tính là lượt thứ nhất: người nhận đã ra đòn rồi thì coi như mất 1 lượt, chưa ra đòn thì được lượt này cộng lượt kế.</t>
  </si>
  <si>
    <t xml:space="preserve">Đầu lượt</t>
  </si>
  <si>
    <t xml:space="preserve">Đồng đội nộ thấp nhất</t>
  </si>
  <si>
    <t xml:space="preserve">Cả đội mình</t>
  </si>
  <si>
    <t xml:space="preserve">+Công cả đội. Chưa quy được ra điểm ngân sách.</t>
  </si>
  <si>
    <t xml:space="preserve">Khi đồng đội gục</t>
  </si>
  <si>
    <t xml:space="preserve">1 địch hàng sau ngẫu nhiên</t>
  </si>
  <si>
    <t xml:space="preserve">Bỏ qua hàng trước.</t>
  </si>
  <si>
    <t xml:space="preserve">Trừ nộ</t>
  </si>
  <si>
    <t xml:space="preserve">Khi đánh trúng mục tiêu máu dưới 30%</t>
  </si>
  <si>
    <t xml:space="preserve">% sát thương cộng thêm</t>
  </si>
  <si>
    <t xml:space="preserve">Khi skill nộ hạ gục địch</t>
  </si>
  <si>
    <t xml:space="preserve">Anh chốt: chỉ khi skill nộ (Mũi Dao Sau Lưng, 1 mục tiêu) hạ gục địch, đòn thường thì không.</t>
  </si>
  <si>
    <t xml:space="preserve">1 địch hàng trước bất kỳ và 1 địch ngay sau (nếu có)</t>
  </si>
  <si>
    <t xml:space="preserve">×2,0 / 2,2 / 2,4 áp cho MỖI mục tiêu (anh xác nhận) nên tổng 200 điểm ngân sách. Nếu không có địch ngay sau thì chỉ đánh 1 mục tiêu.</t>
  </si>
  <si>
    <t xml:space="preserve">Mỗi mục tiêu bị đánh xét xác suất riêng.</t>
  </si>
  <si>
    <t xml:space="preserve">30% có Điên tiết sau khi xả skill, kéo dài 2 lượt.</t>
  </si>
  <si>
    <t xml:space="preserve">Gây sát thương lên 2 địch ngẫu nhiên (anh xác nhận). Mỗi mục tiêu. Tổng 2,0 / 2,4 / 3,0 công.</t>
  </si>
  <si>
    <t xml:space="preserve">Mỗi mục tiêu trúng xét xác suất riêng. Ru ngủ: xem HIỆU_ỨNG.</t>
  </si>
  <si>
    <t xml:space="preserve">Hồi sinh</t>
  </si>
  <si>
    <t xml:space="preserve">1 đồng đội đã gục (ngẫu nhiên)</t>
  </si>
  <si>
    <t xml:space="preserve">20% hồi sinh 1 đồng đội đã gục, còn 20% máu tối đa. Chỉ 1 lần mỗi trận. Tung ở cuối lượt sau khi ra đòn (anh xác nhận).</t>
  </si>
  <si>
    <t xml:space="preserve">KIỂM NGÂN SÁCH SKILL NỘ (so với khung vai trò)</t>
  </si>
  <si>
    <t xml:space="preserve">Điểm chỉ tính sát thương, hồi máu, khiên. Hiệu ứng trạng thái, buff, hồi nộ chưa quy được (xem cột 'chưa tính'). Điểm tăng theo phẩm chất là chủ ý.</t>
  </si>
  <si>
    <t xml:space="preserve">Ngân sách khung</t>
  </si>
  <si>
    <t xml:space="preserve">Điểm – Trắng</t>
  </si>
  <si>
    <t xml:space="preserve">Điểm – Xanh lá</t>
  </si>
  <si>
    <t xml:space="preserve">Điểm – Xanh dương</t>
  </si>
  <si>
    <t xml:space="preserve">Trắng / khung</t>
  </si>
  <si>
    <t xml:space="preserve">Số thành phần chưa tính điểm</t>
  </si>
  <si>
    <t xml:space="preserve">HIỆU ỨNG TRẠNG THÁI DÙNG CHUNG</t>
  </si>
  <si>
    <t xml:space="preserve">Mỗi hiệu ứng viết MỘT lần ở đây, skill chọn lại từ danh sách. Cột Trạng thái cho biết cái nào anh đã chốt, cái nào Claude đề xuất.</t>
  </si>
  <si>
    <t xml:space="preserve">Tên hiệu ứng</t>
  </si>
  <si>
    <t xml:space="preserve">Lợi / Hại</t>
  </si>
  <si>
    <t xml:space="preserve">Tác dụng</t>
  </si>
  <si>
    <t xml:space="preserve">Thời lượng mặc định (lượt)</t>
  </si>
  <si>
    <t xml:space="preserve">Cộng dồn</t>
  </si>
  <si>
    <t xml:space="preserve">Trần cộng dồn (số lần)</t>
  </si>
  <si>
    <t xml:space="preserve">Giá trị chính</t>
  </si>
  <si>
    <t xml:space="preserve">Giá trị phụ</t>
  </si>
  <si>
    <t xml:space="preserve">Quy đổi ≈ % máu chuẩn (điền sau)</t>
  </si>
  <si>
    <t xml:space="preserve">Tên file hình lớp hiệu ứng</t>
  </si>
  <si>
    <t xml:space="preserve">Hại</t>
  </si>
  <si>
    <t xml:space="preserve">Mất lượt / khống chế</t>
  </si>
  <si>
    <t xml:space="preserve">Nếu lượt này người bị dính chưa ra đòn: mất đòn. Đã ra đòn rồi: chỉ chịu hiệu ứng phụ.</t>
  </si>
  <si>
    <t xml:space="preserve">Làm mới (không cộng)</t>
  </si>
  <si>
    <t xml:space="preserve">−20 nộ</t>
  </si>
  <si>
    <t xml:space="preserve">Người bị choáng không hồi máu ở lượt mất đòn (tạm theo chữ).</t>
  </si>
  <si>
    <t xml:space="preserve">Mất đòn như Choáng; giảm tốc độ ở lượt sau.</t>
  </si>
  <si>
    <t xml:space="preserve">−10% tốc độ lượt sau</t>
  </si>
  <si>
    <t xml:space="preserve">Ngủ</t>
  </si>
  <si>
    <t xml:space="preserve">Mất đòn; tỉnh dậy khi bị đánh.</t>
  </si>
  <si>
    <t xml:space="preserve">Đề xuất của Claude</t>
  </si>
  <si>
    <t xml:space="preserve">Chưa dùng ở demo.</t>
  </si>
  <si>
    <t xml:space="preserve">Lợi</t>
  </si>
  <si>
    <t xml:space="preserve">Chỉ số</t>
  </si>
  <si>
    <t xml:space="preserve">Tăng toàn bộ chỉ số thêm 2% (kể cả máu, hồi máu).</t>
  </si>
  <si>
    <t xml:space="preserve">+2% mọi chỉ số</t>
  </si>
  <si>
    <t xml:space="preserve">Thời lượng 2 lượt: lượt hiện tại tính là lượt thứ nhất, đã ra đòn rồi thì coi như mất 1 lượt. Còn mở: cộng dồn, máu hiện tại.</t>
  </si>
  <si>
    <t xml:space="preserve">Khiên / hồi</t>
  </si>
  <si>
    <t xml:space="preserve">Sát thương trừ vào khiên trước, phần dư trừ vào máu. Vỡ khi sát thương vượt giá trị khiên hoặc sau 2 lượt.</t>
  </si>
  <si>
    <t xml:space="preserve">Cộng dồn: mặc định tạm (xả lại thì làm mới).</t>
  </si>
  <si>
    <t xml:space="preserve">Khác</t>
  </si>
  <si>
    <t xml:space="preserve">Đòn thường và skill 1 mục tiêu của địch buộc nhắm người khiêu khích (còn sống), bất kể hàng. Skill nhiều mục tiêu không bị ảnh hưởng.</t>
  </si>
  <si>
    <t xml:space="preserve">Nhiều người khiêu khích: địch random giữa họ. Choáng/đóng băng người khiêu khích thì mất tác dụng (chưa chốt).</t>
  </si>
  <si>
    <t xml:space="preserve">Giảm 10% tốc độ trong 1 lượt.</t>
  </si>
  <si>
    <t xml:space="preserve">−10% tốc độ</t>
  </si>
  <si>
    <t xml:space="preserve">Hiệu ứng nhẹ của Phép.</t>
  </si>
  <si>
    <t xml:space="preserve">Mất 1 lượt đánh, giảm 5% tốc độ và giảm 5% tấn công của đối thủ.</t>
  </si>
  <si>
    <t xml:space="preserve">−5% tốc độ</t>
  </si>
  <si>
    <t xml:space="preserve">−5% công</t>
  </si>
  <si>
    <t xml:space="preserve">Theo mô tả của anh. Phần giảm 5% kéo dài 1 lượt (anh xác nhận).</t>
  </si>
  <si>
    <t xml:space="preserve">QUÁI VÀ BOSS – BẢN NHÁP DO CLAUDE GỢI Ý (anh xem và sửa)</t>
  </si>
  <si>
    <t xml:space="preserve">Chỉ số là số GỐC. Hệ số máu, công theo từng màn nằm ở MAP_MÀN. Cơ chế skill ở QUÁI_THÀNH_PHẦN, phải khớp với cột mô tả ở đây.</t>
  </si>
  <si>
    <t xml:space="preserve">Mã</t>
  </si>
  <si>
    <t xml:space="preserve">Tên quái</t>
  </si>
  <si>
    <t xml:space="preserve">Map</t>
  </si>
  <si>
    <t xml:space="preserve">Hàng mặc định</t>
  </si>
  <si>
    <t xml:space="preserve">Tên skill</t>
  </si>
  <si>
    <t xml:space="preserve">Mô tả skill</t>
  </si>
  <si>
    <t xml:space="preserve">Tên nội tại</t>
  </si>
  <si>
    <t xml:space="preserve">Mô tả nội tại</t>
  </si>
  <si>
    <t xml:space="preserve">Ghi chú / gợi ý</t>
  </si>
  <si>
    <t xml:space="preserve">Q01</t>
  </si>
  <si>
    <t xml:space="preserve">Chuột</t>
  </si>
  <si>
    <t xml:space="preserve">Thường</t>
  </si>
  <si>
    <t xml:space="preserve">1</t>
  </si>
  <si>
    <t xml:space="preserve">Cắn Gặm</t>
  </si>
  <si>
    <t xml:space="preserve">Quái đông, yếu. Có thể đứng cả hàng trước và sau.</t>
  </si>
  <si>
    <t xml:space="preserve">Q02</t>
  </si>
  <si>
    <t xml:space="preserve">Mèo hoang</t>
  </si>
  <si>
    <t xml:space="preserve">Vồ Từ Sau</t>
  </si>
  <si>
    <t xml:space="preserve">Đủ 100 nộ: gây ×2,0 công lên 1 địch hàng sau ngẫu nhiên.</t>
  </si>
  <si>
    <t xml:space="preserve">Né 8%, nhanh. Hay đánh vào hàng sau.</t>
  </si>
  <si>
    <t xml:space="preserve">Q03</t>
  </si>
  <si>
    <t xml:space="preserve">Thảm mốc</t>
  </si>
  <si>
    <t xml:space="preserve">Tinh anh</t>
  </si>
  <si>
    <t xml:space="preserve">Bào Tử Mốc</t>
  </si>
  <si>
    <t xml:space="preserve">Đủ 100 nộ: gây ×0,8 công lên 2 địch ngẫu nhiên, mỗi mục tiêu 40% bị Làm chậm 1 lượt.</t>
  </si>
  <si>
    <t xml:space="preserve">Thủ cao, chậm, tự hồi 25 máu/lượt.</t>
  </si>
  <si>
    <t xml:space="preserve">Q04</t>
  </si>
  <si>
    <t xml:space="preserve">Đại ca mèo</t>
  </si>
  <si>
    <t xml:space="preserve">Boss</t>
  </si>
  <si>
    <t xml:space="preserve">Gầm Gừ</t>
  </si>
  <si>
    <t xml:space="preserve">Đủ 100 nộ: gây ×1,3 công lên 3 địch ngẫu nhiên, mỗi mục tiêu 30% bị Làm chậm 1 lượt.</t>
  </si>
  <si>
    <t xml:space="preserve">Tiếng Gọi Bầy</t>
  </si>
  <si>
    <t xml:space="preserve">Khi đồng đội gục, cả đội +15 nộ.</t>
  </si>
  <si>
    <t xml:space="preserve">Boss 1.10.</t>
  </si>
  <si>
    <t xml:space="preserve">Q05</t>
  </si>
  <si>
    <t xml:space="preserve">Khách khó tính</t>
  </si>
  <si>
    <t xml:space="preserve">2</t>
  </si>
  <si>
    <t xml:space="preserve">Chê Ỏng Ẹo</t>
  </si>
  <si>
    <t xml:space="preserve">Đủ 100 nộ: gây ×1,4 công lên 2 địch ngẫu nhiên, 60% trừ thêm 25 nộ mỗi mục tiêu.</t>
  </si>
  <si>
    <t xml:space="preserve">Khó Chiều</t>
  </si>
  <si>
    <t xml:space="preserve">Cuối lượt: 20% hồi 5% máu tối đa cho bản thân.</t>
  </si>
  <si>
    <t xml:space="preserve">Boss giữa map 2 (2.5). Kìm nộ để chặn skill của mình.</t>
  </si>
  <si>
    <t xml:space="preserve">Q06</t>
  </si>
  <si>
    <t xml:space="preserve">Trợ lý nam ác</t>
  </si>
  <si>
    <t xml:space="preserve">Gài Bẫy</t>
  </si>
  <si>
    <t xml:space="preserve">Đủ 100 nộ: gây ×1,8 công lên 1 địch hàng sau ngẫu nhiên, 15% Choáng.</t>
  </si>
  <si>
    <t xml:space="preserve">Công cao, mỏng, nhắm hàng sau.</t>
  </si>
  <si>
    <t xml:space="preserve">Q07</t>
  </si>
  <si>
    <t xml:space="preserve">Trợ lý nữ ác</t>
  </si>
  <si>
    <t xml:space="preserve">Mỉa Mai</t>
  </si>
  <si>
    <t xml:space="preserve">Đủ 100 nộ: gây ×1,0 công lên 2 địch ngẫu nhiên và trừ 30 nộ mỗi mục tiêu.</t>
  </si>
  <si>
    <t xml:space="preserve">Chị Cả</t>
  </si>
  <si>
    <t xml:space="preserve">Khi đồng đội gục, cả đội +20 nộ.</t>
  </si>
  <si>
    <t xml:space="preserve">Nhanh nhất map 2, kìm nộ.</t>
  </si>
  <si>
    <t xml:space="preserve">Q08</t>
  </si>
  <si>
    <t xml:space="preserve">Chó dữ</t>
  </si>
  <si>
    <t xml:space="preserve">Cắn Chặt</t>
  </si>
  <si>
    <t xml:space="preserve">Đủ 100 nộ: gây ×2,2 công lên 1 địch, 40% Làm chậm 1 lượt.</t>
  </si>
  <si>
    <t xml:space="preserve">Sát thương đơn lớn.</t>
  </si>
  <si>
    <t xml:space="preserve">Q09</t>
  </si>
  <si>
    <t xml:space="preserve">Đối tác dự án lớn</t>
  </si>
  <si>
    <t xml:space="preserve">Chốt Giá Ép</t>
  </si>
  <si>
    <t xml:space="preserve">Đủ 100 nộ: gây ×1,5 công lên 3 địch ngẫu nhiên và trừ 20 nộ mỗi mục tiêu.</t>
  </si>
  <si>
    <t xml:space="preserve">Hợp Đồng Dày</t>
  </si>
  <si>
    <t xml:space="preserve">Khi xả skill: tạo khiên 12% máu tối đa (2 lượt).</t>
  </si>
  <si>
    <t xml:space="preserve">Boss 2.10.</t>
  </si>
  <si>
    <t xml:space="preserve">Q10</t>
  </si>
  <si>
    <t xml:space="preserve">Bảo vệ</t>
  </si>
  <si>
    <t xml:space="preserve">3</t>
  </si>
  <si>
    <t xml:space="preserve">Chặn Cổng</t>
  </si>
  <si>
    <t xml:space="preserve">Đủ 100 nộ: Khiêu khích 1 lượt (địch buộc đánh người này) và tạo khiên 10% máu tối đa 2 lượt.</t>
  </si>
  <si>
    <t xml:space="preserve">Gậy Cao Su</t>
  </si>
  <si>
    <t xml:space="preserve">Khi bị đánh trúng, phản 10% sát thương nhận vào.</t>
  </si>
  <si>
    <t xml:space="preserve">Tank của map 3.</t>
  </si>
  <si>
    <t xml:space="preserve">Q11</t>
  </si>
  <si>
    <t xml:space="preserve">Siêu đối tác dự án</t>
  </si>
  <si>
    <t xml:space="preserve">Dự Án Tỷ Đô</t>
  </si>
  <si>
    <t xml:space="preserve">Đủ 100 nộ: gây ×1,3 công lên 3 địch ngẫu nhiên, mỗi mục tiêu 20% Ru ngủ.</t>
  </si>
  <si>
    <t xml:space="preserve">Túi Tiền Dày</t>
  </si>
  <si>
    <t xml:space="preserve">Khi xả skill: tạo khiên 10% máu tối đa (2 lượt).</t>
  </si>
  <si>
    <t xml:space="preserve">Boss giữa map 3 (3.5). Chưa rõ có phải cùng quái với Q12 không.</t>
  </si>
  <si>
    <t xml:space="preserve">Q12</t>
  </si>
  <si>
    <t xml:space="preserve">Siêu giám đốc khó tính</t>
  </si>
  <si>
    <t xml:space="preserve">Họp Triền Miên</t>
  </si>
  <si>
    <t xml:space="preserve">Đủ 100 nộ: gây ×1,2 công lên 3 địch ngẫu nhiên, mỗi mục tiêu 25% Ru ngủ và trừ 20 nộ.</t>
  </si>
  <si>
    <t xml:space="preserve">Quyết Định Cuối</t>
  </si>
  <si>
    <t xml:space="preserve">Khi đồng đội gục, cả đội +20 nộ. Khi xả skill: tạo khiên 10% máu tối đa (2 lượt).</t>
  </si>
  <si>
    <t xml:space="preserve">Boss cuối 3.10.</t>
  </si>
  <si>
    <t xml:space="preserve">QUÁI_THÀNH_PHẦN – cơ chế skill và nội tại của quái (mỗi thành phần 1 dòng)</t>
  </si>
  <si>
    <t xml:space="preserve">Quái không có phẩm chất nên mỗi thành phần chỉ có 1 giá trị. Xác suất để trống = 100%. Số mục tiêu để trống = 1.</t>
  </si>
  <si>
    <t xml:space="preserve">Mã quái</t>
  </si>
  <si>
    <t xml:space="preserve">Số mục tiêu</t>
  </si>
  <si>
    <t xml:space="preserve">Độ lớn</t>
  </si>
  <si>
    <t xml:space="preserve">Xác suất</t>
  </si>
  <si>
    <t xml:space="preserve">Mỗi mục tiêu.</t>
  </si>
  <si>
    <t xml:space="preserve">MAP VÀ MÀN – 3 map × 10 màn</t>
  </si>
  <si>
    <t xml:space="preserve">Thành phần quái ghi dạng 'Q01×2; Q02×1'. Hệ số máu, công do MÔ PHỎNG tính cho map 1 (map 2 và 3 chưa hiệu chỉnh). Đội dự kiến là giả định số tướng người chơi có lúc đó.</t>
  </si>
  <si>
    <t xml:space="preserve">Màn</t>
  </si>
  <si>
    <t xml:space="preserve">Tên màn</t>
  </si>
  <si>
    <t xml:space="preserve">Thành phần quái</t>
  </si>
  <si>
    <t xml:space="preserve">Loại màn</t>
  </si>
  <si>
    <t xml:space="preserve">Hệ số máu</t>
  </si>
  <si>
    <t xml:space="preserve">Hệ số công</t>
  </si>
  <si>
    <t xml:space="preserve">Đội dự kiến (số tướng)</t>
  </si>
  <si>
    <t xml:space="preserve">Thắng mô phỏng</t>
  </si>
  <si>
    <t xml:space="preserve">Lượt TB</t>
  </si>
  <si>
    <t xml:space="preserve">Thưởng gacha</t>
  </si>
  <si>
    <t xml:space="preserve">Chuột vào kho</t>
  </si>
  <si>
    <t xml:space="preserve">Kho thảm trải sàn</t>
  </si>
  <si>
    <t xml:space="preserve">Q01×2</t>
  </si>
  <si>
    <t xml:space="preserve">3 lượt quay</t>
  </si>
  <si>
    <t xml:space="preserve">Hệ số do mô phỏng (mục tiêu thắng giảm dần, boss 60%). Giả định: thắng thưởng 3 lượt quay, đội mạnh nhất có thể.</t>
  </si>
  <si>
    <t xml:space="preserve">Đàn chuột</t>
  </si>
  <si>
    <t xml:space="preserve">Q01×3</t>
  </si>
  <si>
    <t xml:space="preserve">Mèo hoang ghé thăm</t>
  </si>
  <si>
    <t xml:space="preserve">Q02×1; Q01×2</t>
  </si>
  <si>
    <t xml:space="preserve">Hai mèo, một chuột</t>
  </si>
  <si>
    <t xml:space="preserve">Q02×2; Q01×1</t>
  </si>
  <si>
    <t xml:space="preserve">Thảm mốc lộ diện</t>
  </si>
  <si>
    <t xml:space="preserve">Q03×1; Q01×2</t>
  </si>
  <si>
    <t xml:space="preserve">Mèo canh thảm mốc</t>
  </si>
  <si>
    <t xml:space="preserve">Q02×2; Q03×1</t>
  </si>
  <si>
    <t xml:space="preserve">Ổ mốc</t>
  </si>
  <si>
    <t xml:space="preserve">Q03×2; Q01×2</t>
  </si>
  <si>
    <t xml:space="preserve">Băng mèo</t>
  </si>
  <si>
    <t xml:space="preserve">Q02×3; Q01×1</t>
  </si>
  <si>
    <t xml:space="preserve">Kho thất thủ</t>
  </si>
  <si>
    <t xml:space="preserve">Q03×2; Q02×2</t>
  </si>
  <si>
    <t xml:space="preserve">Q04×1; Q02×2; Q01×2</t>
  </si>
  <si>
    <t xml:space="preserve">5 lượt quay</t>
  </si>
  <si>
    <t xml:space="preserve">Tiếp khách đầu tiên</t>
  </si>
  <si>
    <t xml:space="preserve">Phòng khách bàn hợp tác</t>
  </si>
  <si>
    <t xml:space="preserve">Q06×1; Q08×1</t>
  </si>
  <si>
    <t xml:space="preserve">Chưa hiệu chỉnh: hệ số để trống (= ×1,0). Cần chốt tiến trình người chơi ở map trước.</t>
  </si>
  <si>
    <t xml:space="preserve">Trợ lý hai mặt</t>
  </si>
  <si>
    <t xml:space="preserve">Q06×1; Q07×1</t>
  </si>
  <si>
    <t xml:space="preserve">Chó giữ cửa</t>
  </si>
  <si>
    <t xml:space="preserve">Q08×2; Q07×1</t>
  </si>
  <si>
    <t xml:space="preserve">Trợ lý bắt tay chó</t>
  </si>
  <si>
    <t xml:space="preserve">Q06×1; Q07×1; Q08×1</t>
  </si>
  <si>
    <t xml:space="preserve">Q05×1; Q06×1; Q07×1</t>
  </si>
  <si>
    <t xml:space="preserve">Bàn đàm phán</t>
  </si>
  <si>
    <t xml:space="preserve">Q08×2; Q06×1; Q07×1</t>
  </si>
  <si>
    <t xml:space="preserve">Chó dữ nhà khách</t>
  </si>
  <si>
    <t xml:space="preserve">Q08×3; Q07×1</t>
  </si>
  <si>
    <t xml:space="preserve">Trợ lý đồng lòng</t>
  </si>
  <si>
    <t xml:space="preserve">Q06×2; Q07×2</t>
  </si>
  <si>
    <t xml:space="preserve">Chê giá</t>
  </si>
  <si>
    <t xml:space="preserve">Q05×1; Q08×2; Q07×1</t>
  </si>
  <si>
    <t xml:space="preserve">Q09×1; Q06×1; Q07×1; Q08×1</t>
  </si>
  <si>
    <t xml:space="preserve">Cổng công ty khách</t>
  </si>
  <si>
    <t xml:space="preserve">Công ty của khách</t>
  </si>
  <si>
    <t xml:space="preserve">Q10×2; Q06×1</t>
  </si>
  <si>
    <t xml:space="preserve">Bảo vệ và trợ lý</t>
  </si>
  <si>
    <t xml:space="preserve">Q10×1; Q06×1; Q07×1</t>
  </si>
  <si>
    <t xml:space="preserve">Sảnh đá cẩm thạch</t>
  </si>
  <si>
    <t xml:space="preserve">Q10×2; Q07×2</t>
  </si>
  <si>
    <t xml:space="preserve">Thang máy</t>
  </si>
  <si>
    <t xml:space="preserve">Q10×2; Q06×2; Q08×1</t>
  </si>
  <si>
    <t xml:space="preserve">Q11×1; Q10×2</t>
  </si>
  <si>
    <t xml:space="preserve">Hành lang phòng ban</t>
  </si>
  <si>
    <t xml:space="preserve">Q10×2; Q06×1; Q07×2</t>
  </si>
  <si>
    <t xml:space="preserve">Phòng chờ</t>
  </si>
  <si>
    <t xml:space="preserve">Q08×2; Q10×1; Q07×2</t>
  </si>
  <si>
    <t xml:space="preserve">Trợ lý cấp cao</t>
  </si>
  <si>
    <t xml:space="preserve">Q06×2; Q07×2; Q10×1</t>
  </si>
  <si>
    <t xml:space="preserve">Trước cửa phòng giám đốc</t>
  </si>
  <si>
    <t xml:space="preserve">Q11×1; Q10×2; Q07×1</t>
  </si>
  <si>
    <t xml:space="preserve">Q12×1; Q11×1; Q10×1; Q07×1</t>
  </si>
  <si>
    <t xml:space="preserve">ẢNH NHÂN VẬT – ghi tên file hoặc link</t>
  </si>
  <si>
    <t xml:space="preserve">Bản demo: 1 bộ pose dùng chung cho cả 3 phẩm chất (đứng, ra skill, bị đánh, gục) + 1 ảnh thẻ. Cột Tiến độ tự đếm.</t>
  </si>
  <si>
    <t xml:space="preserve">Ảnh gốc (thiết kế nhân vật)</t>
  </si>
  <si>
    <t xml:space="preserve">Pose – Đứng (idle)</t>
  </si>
  <si>
    <t xml:space="preserve">Pose – Ra skill</t>
  </si>
  <si>
    <t xml:space="preserve">Pose – Bị đánh</t>
  </si>
  <si>
    <t xml:space="preserve">Pose – đánh</t>
  </si>
  <si>
    <t xml:space="preserve">Pose – lùi lấy đà</t>
  </si>
  <si>
    <t xml:space="preserve">Pose – Gục</t>
  </si>
  <si>
    <t xml:space="preserve">Ảnh thẻ</t>
  </si>
  <si>
    <t xml:space="preserve">Tiến độ</t>
  </si>
  <si>
    <t xml:space="preserve">Hàng</t>
  </si>
  <si>
    <t xml:space="preserve">Kích hoạt</t>
  </si>
  <si>
    <t xml:space="preserve">Lợi/Hại</t>
  </si>
  <si>
    <t xml:space="preserve">Nhóm trạng thái</t>
  </si>
  <si>
    <t xml:space="preserve">Trạng thái chốt</t>
  </si>
  <si>
    <t xml:space="preserve">Loại quái</t>
  </si>
  <si>
    <t xml:space="preserve">Cộng dồn có trần</t>
  </si>
  <si>
    <t xml:space="preserve">Linh hoạt</t>
  </si>
  <si>
    <t xml:space="preserve">Lấy giá trị lớn hơn</t>
  </si>
  <si>
    <t xml:space="preserve">Khi bị đánh (kể cả bị né)</t>
  </si>
  <si>
    <t xml:space="preserve">% máu tối đa của mục tiêu địch</t>
  </si>
  <si>
    <t xml:space="preserve">Không áp dụng</t>
  </si>
  <si>
    <t xml:space="preserve">Khi đánh trúng</t>
  </si>
  <si>
    <t xml:space="preserve">Sát thương theo thời gian</t>
  </si>
  <si>
    <t xml:space="preserve">Debuff chỉ số</t>
  </si>
  <si>
    <t xml:space="preserve">Khi né thành công</t>
  </si>
  <si>
    <t xml:space="preserve">Cả hàng trước địch</t>
  </si>
  <si>
    <t xml:space="preserve">Điểm cố định</t>
  </si>
  <si>
    <t xml:space="preserve">Cả hàng sau địch</t>
  </si>
  <si>
    <t xml:space="preserve">Khác (ghi ở Ghi chú)</t>
  </si>
  <si>
    <t xml:space="preserve">Toàn bộ địch</t>
  </si>
  <si>
    <t xml:space="preserve">Địch % máu thấp nhất</t>
  </si>
  <si>
    <t xml:space="preserve">Khi máu dưới ngưỡng</t>
  </si>
  <si>
    <t xml:space="preserve">Khi bản thân gục</t>
  </si>
  <si>
    <t xml:space="preserve">Luôn bật (chỉ số)</t>
  </si>
  <si>
    <t xml:space="preserve">Danh sách cho ô thả xuống. Muốn thêm giá trị: chèn dòng vào GIỮA danh sách, không thêm ở cuối.</t>
  </si>
</sst>
</file>

<file path=xl/styles.xml><?xml version="1.0" encoding="utf-8"?>
<styleSheet xmlns="http://schemas.openxmlformats.org/spreadsheetml/2006/main">
  <numFmts count="8">
    <numFmt numFmtId="164" formatCode="General"/>
    <numFmt numFmtId="165" formatCode="#,##0"/>
    <numFmt numFmtId="166" formatCode="0.00"/>
    <numFmt numFmtId="167" formatCode="0.0"/>
    <numFmt numFmtId="168" formatCode="0.0%"/>
    <numFmt numFmtId="169" formatCode="0%"/>
    <numFmt numFmtId="170" formatCode="0.00\×"/>
    <numFmt numFmtId="171"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color rgb="FFC00000"/>
      <name val="Arial"/>
      <family val="0"/>
      <charset val="1"/>
    </font>
    <font>
      <sz val="10"/>
      <name val="Arial"/>
      <family val="0"/>
      <charset val="1"/>
    </font>
    <font>
      <b val="true"/>
      <sz val="10"/>
      <name val="Arial"/>
      <family val="0"/>
      <charset val="1"/>
    </font>
    <font>
      <sz val="10"/>
      <color rgb="FF0000FF"/>
      <name val="Arial"/>
      <family val="0"/>
      <charset val="1"/>
    </font>
    <font>
      <i val="true"/>
      <sz val="10"/>
      <color rgb="FF595959"/>
      <name val="Arial"/>
      <family val="0"/>
      <charset val="1"/>
    </font>
    <font>
      <b val="true"/>
      <sz val="10"/>
      <color rgb="FFFFFFFF"/>
      <name val="Arial"/>
      <family val="0"/>
      <charset val="1"/>
    </font>
    <font>
      <i val="true"/>
      <sz val="10"/>
      <name val="Arial"/>
      <family val="0"/>
      <charset val="1"/>
    </font>
  </fonts>
  <fills count="11">
    <fill>
      <patternFill patternType="none"/>
    </fill>
    <fill>
      <patternFill patternType="gray125"/>
    </fill>
    <fill>
      <patternFill patternType="solid">
        <fgColor rgb="FFD9E1F2"/>
        <bgColor rgb="FFE2EFDA"/>
      </patternFill>
    </fill>
    <fill>
      <patternFill patternType="solid">
        <fgColor rgb="FFFFF2CC"/>
        <bgColor rgb="FFE2EFDA"/>
      </patternFill>
    </fill>
    <fill>
      <patternFill patternType="solid">
        <fgColor rgb="FFE2EFDA"/>
        <bgColor rgb="FFD9E1F2"/>
      </patternFill>
    </fill>
    <fill>
      <patternFill patternType="solid">
        <fgColor rgb="FFBFBFBF"/>
        <bgColor rgb="FFC6E0B4"/>
      </patternFill>
    </fill>
    <fill>
      <patternFill patternType="solid">
        <fgColor rgb="FF1F3864"/>
        <bgColor rgb="FF333333"/>
      </patternFill>
    </fill>
    <fill>
      <patternFill patternType="solid">
        <fgColor rgb="FFC6E0B4"/>
        <bgColor rgb="FFE2EFDA"/>
      </patternFill>
    </fill>
    <fill>
      <patternFill patternType="solid">
        <fgColor rgb="FFFFE699"/>
        <bgColor rgb="FFFFF2CC"/>
      </patternFill>
    </fill>
    <fill>
      <patternFill patternType="solid">
        <fgColor rgb="FFF8CBAD"/>
        <bgColor rgb="FFFFE699"/>
      </patternFill>
    </fill>
    <fill>
      <patternFill patternType="solid">
        <fgColor rgb="FFF4B183"/>
        <bgColor rgb="FFF8CBA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7" fontId="8" fillId="3" borderId="1" xfId="0" applyFont="true" applyBorder="true" applyAlignment="true" applyProtection="false">
      <alignment horizontal="general" vertical="top" textRotation="0" wrapText="true" indent="0" shrinkToFit="false"/>
      <protection locked="true" hidden="false"/>
    </xf>
    <xf numFmtId="168" fontId="8" fillId="3" borderId="1" xfId="0" applyFont="true" applyBorder="true" applyAlignment="true" applyProtection="false">
      <alignment horizontal="general" vertical="top" textRotation="0" wrapText="true" indent="0" shrinkToFit="false"/>
      <protection locked="true" hidden="false"/>
    </xf>
    <xf numFmtId="169" fontId="8" fillId="3" borderId="1" xfId="0" applyFont="true" applyBorder="true" applyAlignment="true" applyProtection="false">
      <alignment horizontal="general" vertical="top" textRotation="0" wrapText="true" indent="0" shrinkToFit="false"/>
      <protection locked="true" hidden="false"/>
    </xf>
    <xf numFmtId="170" fontId="6" fillId="4" borderId="1" xfId="0" applyFont="true" applyBorder="true" applyAlignment="true" applyProtection="false">
      <alignment horizontal="general" vertical="top" textRotation="0" wrapText="true" indent="0" shrinkToFit="false"/>
      <protection locked="true" hidden="false"/>
    </xf>
    <xf numFmtId="170" fontId="8" fillId="3"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7" fontId="6" fillId="4" borderId="1" xfId="0" applyFont="true" applyBorder="true" applyAlignment="true" applyProtection="false">
      <alignment horizontal="general" vertical="top" textRotation="0" wrapText="true" indent="0" shrinkToFit="false"/>
      <protection locked="true" hidden="false"/>
    </xf>
    <xf numFmtId="168" fontId="6" fillId="4" borderId="1" xfId="0" applyFont="true" applyBorder="true" applyAlignment="true" applyProtection="false">
      <alignment horizontal="general" vertical="top" textRotation="0" wrapText="true" indent="0" shrinkToFit="false"/>
      <protection locked="true" hidden="false"/>
    </xf>
    <xf numFmtId="169" fontId="6" fillId="4" borderId="1" xfId="0" applyFont="true" applyBorder="true" applyAlignment="true" applyProtection="false">
      <alignment horizontal="general" vertical="top" textRotation="0" wrapText="true" indent="0" shrinkToFit="false"/>
      <protection locked="true" hidden="false"/>
    </xf>
    <xf numFmtId="171" fontId="6" fillId="4" borderId="1" xfId="0" applyFont="true" applyBorder="true" applyAlignment="true" applyProtection="false">
      <alignment horizontal="general" vertical="top" textRotation="0" wrapText="true" indent="0" shrinkToFit="false"/>
      <protection locked="true" hidden="false"/>
    </xf>
    <xf numFmtId="171" fontId="8"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4B183"/>
          <bgColor rgb="FF000000"/>
        </patternFill>
      </fill>
    </dxf>
    <dxf>
      <fill>
        <patternFill patternType="solid">
          <fgColor rgb="FFF8CBAD"/>
          <bgColor rgb="FF000000"/>
        </patternFill>
      </fill>
    </dxf>
    <dxf>
      <fill>
        <patternFill patternType="solid">
          <fgColor rgb="FFFFE699"/>
          <bgColor rgb="FF000000"/>
        </patternFill>
      </fill>
    </dxf>
    <dxf>
      <font>
        <name val="Arial"/>
        <charset val="1"/>
        <family val="0"/>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6E0B4"/>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4B183"/>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2" min="2" style="1" width="118"/>
  </cols>
  <sheetData>
    <row r="1" customFormat="false" ht="18" hidden="false" customHeight="true" outlineLevel="0" collapsed="false">
      <c r="A1" s="2" t="s">
        <v>0</v>
      </c>
    </row>
    <row r="2" customFormat="false" ht="45" hidden="false" customHeight="true" outlineLevel="0" collapsed="false">
      <c r="A2" s="3" t="s">
        <v>1</v>
      </c>
      <c r="B2" s="3" t="s">
        <v>2</v>
      </c>
    </row>
    <row r="3" customFormat="false" ht="30" hidden="false" customHeight="true" outlineLevel="0" collapsed="false">
      <c r="A3" s="4" t="s">
        <v>3</v>
      </c>
      <c r="B3" s="4" t="s">
        <v>4</v>
      </c>
    </row>
    <row r="5" customFormat="false" ht="15" hidden="false" customHeight="true" outlineLevel="0" collapsed="false">
      <c r="A5" s="5" t="s">
        <v>5</v>
      </c>
      <c r="B5" s="5"/>
    </row>
    <row r="6" customFormat="false" ht="15" hidden="false" customHeight="true" outlineLevel="0" collapsed="false">
      <c r="A6" s="4" t="s">
        <v>6</v>
      </c>
      <c r="B6" s="4" t="s">
        <v>7</v>
      </c>
    </row>
    <row r="7" customFormat="false" ht="15" hidden="false" customHeight="true" outlineLevel="0" collapsed="false">
      <c r="A7" s="4" t="s">
        <v>8</v>
      </c>
      <c r="B7" s="4" t="s">
        <v>9</v>
      </c>
    </row>
    <row r="8" customFormat="false" ht="15" hidden="false" customHeight="true" outlineLevel="0" collapsed="false">
      <c r="A8" s="4" t="s">
        <v>10</v>
      </c>
      <c r="B8" s="4" t="s">
        <v>11</v>
      </c>
    </row>
    <row r="9" customFormat="false" ht="15" hidden="false" customHeight="true" outlineLevel="0" collapsed="false">
      <c r="A9" s="4" t="s">
        <v>12</v>
      </c>
      <c r="B9" s="4" t="s">
        <v>13</v>
      </c>
    </row>
    <row r="10" customFormat="false" ht="15" hidden="false" customHeight="true" outlineLevel="0" collapsed="false">
      <c r="A10" s="4" t="s">
        <v>14</v>
      </c>
      <c r="B10" s="4" t="s">
        <v>15</v>
      </c>
    </row>
    <row r="12" customFormat="false" ht="15" hidden="false" customHeight="true" outlineLevel="0" collapsed="false">
      <c r="A12" s="5" t="s">
        <v>16</v>
      </c>
      <c r="B12" s="5"/>
    </row>
    <row r="13" customFormat="false" ht="15" hidden="false" customHeight="true" outlineLevel="0" collapsed="false">
      <c r="A13" s="6" t="s">
        <v>17</v>
      </c>
      <c r="B13" s="6" t="s">
        <v>18</v>
      </c>
    </row>
    <row r="14" customFormat="false" ht="15" hidden="false" customHeight="true" outlineLevel="0" collapsed="false">
      <c r="A14" s="7" t="s">
        <v>19</v>
      </c>
      <c r="B14" s="7" t="s">
        <v>20</v>
      </c>
    </row>
    <row r="15" customFormat="false" ht="15" hidden="false" customHeight="true" outlineLevel="0" collapsed="false">
      <c r="A15" s="8" t="s">
        <v>21</v>
      </c>
      <c r="B15" s="8" t="s">
        <v>22</v>
      </c>
    </row>
    <row r="17" customFormat="false" ht="15" hidden="false" customHeight="true" outlineLevel="0" collapsed="false">
      <c r="A17" s="5" t="s">
        <v>23</v>
      </c>
      <c r="B17" s="5"/>
    </row>
    <row r="18" customFormat="false" ht="30" hidden="false" customHeight="true" outlineLevel="0" collapsed="false">
      <c r="A18" s="4" t="s">
        <v>24</v>
      </c>
      <c r="B18" s="4" t="s">
        <v>25</v>
      </c>
    </row>
    <row r="19" customFormat="false" ht="15" hidden="false" customHeight="true" outlineLevel="0" collapsed="false">
      <c r="A19" s="4" t="s">
        <v>26</v>
      </c>
      <c r="B19" s="4" t="s">
        <v>27</v>
      </c>
    </row>
    <row r="20" customFormat="false" ht="30" hidden="false" customHeight="true" outlineLevel="0" collapsed="false">
      <c r="A20" s="4" t="s">
        <v>28</v>
      </c>
      <c r="B20" s="4" t="s">
        <v>29</v>
      </c>
    </row>
    <row r="21" customFormat="false" ht="15" hidden="false" customHeight="true" outlineLevel="0" collapsed="false">
      <c r="A21" s="4" t="s">
        <v>30</v>
      </c>
      <c r="B21" s="4" t="s">
        <v>31</v>
      </c>
    </row>
    <row r="22" customFormat="false" ht="30" hidden="false" customHeight="true" outlineLevel="0" collapsed="false">
      <c r="A22" s="4" t="s">
        <v>32</v>
      </c>
      <c r="B22" s="4" t="s">
        <v>33</v>
      </c>
    </row>
    <row r="23" customFormat="false" ht="15" hidden="false" customHeight="true" outlineLevel="0" collapsed="false">
      <c r="A23" s="4" t="s">
        <v>34</v>
      </c>
      <c r="B23" s="4" t="s">
        <v>35</v>
      </c>
    </row>
    <row r="24" customFormat="false" ht="15" hidden="false" customHeight="true" outlineLevel="0" collapsed="false">
      <c r="A24" s="4" t="s">
        <v>36</v>
      </c>
      <c r="B24" s="4" t="s">
        <v>37</v>
      </c>
    </row>
    <row r="26" customFormat="false" ht="15" hidden="false" customHeight="true" outlineLevel="0" collapsed="false">
      <c r="A26" s="5" t="s">
        <v>38</v>
      </c>
      <c r="B26" s="5"/>
    </row>
    <row r="27" customFormat="false" ht="30" hidden="false" customHeight="true" outlineLevel="0" collapsed="false">
      <c r="A27" s="4" t="s">
        <v>39</v>
      </c>
      <c r="B27" s="4" t="s">
        <v>40</v>
      </c>
    </row>
    <row r="28" customFormat="false" ht="30" hidden="false" customHeight="true" outlineLevel="0" collapsed="false">
      <c r="A28" s="4" t="s">
        <v>41</v>
      </c>
      <c r="B28" s="4" t="s">
        <v>42</v>
      </c>
    </row>
    <row r="29" customFormat="false" ht="30" hidden="false" customHeight="true" outlineLevel="0" collapsed="false">
      <c r="A29" s="4" t="s">
        <v>43</v>
      </c>
      <c r="B29" s="4" t="s">
        <v>44</v>
      </c>
    </row>
    <row r="31" customFormat="false" ht="15" hidden="false" customHeight="true" outlineLevel="0" collapsed="false">
      <c r="A31" s="5" t="s">
        <v>45</v>
      </c>
      <c r="B31" s="5"/>
    </row>
    <row r="32" customFormat="false" ht="15" hidden="false" customHeight="true" outlineLevel="0" collapsed="false">
      <c r="A32" s="4" t="s">
        <v>46</v>
      </c>
      <c r="B32" s="4" t="s">
        <v>47</v>
      </c>
    </row>
    <row r="33" customFormat="false" ht="30" hidden="false" customHeight="true" outlineLevel="0" collapsed="false">
      <c r="A33" s="4" t="s">
        <v>48</v>
      </c>
      <c r="B33" s="4" t="s">
        <v>49</v>
      </c>
    </row>
    <row r="34" customFormat="false" ht="15" hidden="false" customHeight="true" outlineLevel="0" collapsed="false">
      <c r="A34" s="4" t="s">
        <v>50</v>
      </c>
      <c r="B34" s="4"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6" activePane="bottomRight" state="frozen"/>
      <selection pane="topLeft" activeCell="A1" activeCellId="0" sqref="A1"/>
      <selection pane="topRight" activeCell="C1" activeCellId="0" sqref="C1"/>
      <selection pane="bottomLeft" activeCell="A56" activeCellId="0" sqref="A56"/>
      <selection pane="bottomRight" activeCell="C24" activeCellId="0" sqref="C24"/>
    </sheetView>
  </sheetViews>
  <sheetFormatPr defaultColWidth="8.714843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90"/>
    <col collapsed="false" customWidth="true" hidden="false" outlineLevel="0" max="4" min="4" style="1" width="14"/>
    <col collapsed="false" customWidth="true" hidden="false" outlineLevel="0" max="5" min="5" style="1" width="60"/>
  </cols>
  <sheetData>
    <row r="1" customFormat="false" ht="18" hidden="false" customHeight="true" outlineLevel="0" collapsed="false">
      <c r="A1" s="2" t="s">
        <v>52</v>
      </c>
    </row>
    <row r="2" customFormat="false" ht="15" hidden="false" customHeight="true" outlineLevel="0" collapsed="false">
      <c r="A2" s="9" t="s">
        <v>53</v>
      </c>
    </row>
    <row r="4" customFormat="false" ht="24" hidden="false" customHeight="true" outlineLevel="0" collapsed="false">
      <c r="A4" s="10" t="s">
        <v>54</v>
      </c>
      <c r="B4" s="10" t="s">
        <v>55</v>
      </c>
      <c r="C4" s="10" t="s">
        <v>56</v>
      </c>
      <c r="D4" s="10" t="s">
        <v>3</v>
      </c>
      <c r="E4" s="10" t="s">
        <v>57</v>
      </c>
    </row>
    <row r="5" customFormat="false" ht="25.5" hidden="false" customHeight="true" outlineLevel="0" collapsed="false">
      <c r="A5" s="11" t="s">
        <v>58</v>
      </c>
      <c r="B5" s="12" t="s">
        <v>59</v>
      </c>
      <c r="C5" s="11" t="s">
        <v>60</v>
      </c>
      <c r="D5" s="13" t="s">
        <v>61</v>
      </c>
      <c r="E5" s="11"/>
    </row>
    <row r="6" customFormat="false" ht="25.5" hidden="false" customHeight="true" outlineLevel="0" collapsed="false">
      <c r="A6" s="11" t="s">
        <v>58</v>
      </c>
      <c r="B6" s="12" t="s">
        <v>62</v>
      </c>
      <c r="C6" s="11" t="s">
        <v>63</v>
      </c>
      <c r="D6" s="13" t="s">
        <v>61</v>
      </c>
      <c r="E6" s="11"/>
    </row>
    <row r="7" customFormat="false" ht="15" hidden="false" customHeight="true" outlineLevel="0" collapsed="false">
      <c r="A7" s="11" t="s">
        <v>58</v>
      </c>
      <c r="B7" s="12" t="s">
        <v>64</v>
      </c>
      <c r="C7" s="11" t="s">
        <v>65</v>
      </c>
      <c r="D7" s="13" t="s">
        <v>61</v>
      </c>
      <c r="E7" s="11"/>
    </row>
    <row r="8" customFormat="false" ht="38.25" hidden="false" customHeight="true" outlineLevel="0" collapsed="false">
      <c r="A8" s="11" t="s">
        <v>58</v>
      </c>
      <c r="B8" s="12" t="s">
        <v>66</v>
      </c>
      <c r="C8" s="11" t="s">
        <v>67</v>
      </c>
      <c r="D8" s="14" t="s">
        <v>68</v>
      </c>
      <c r="E8" s="11" t="s">
        <v>69</v>
      </c>
    </row>
    <row r="9" customFormat="false" ht="25.5" hidden="false" customHeight="true" outlineLevel="0" collapsed="false">
      <c r="A9" s="11" t="s">
        <v>58</v>
      </c>
      <c r="B9" s="12" t="s">
        <v>70</v>
      </c>
      <c r="C9" s="11" t="s">
        <v>71</v>
      </c>
      <c r="D9" s="14" t="s">
        <v>68</v>
      </c>
      <c r="E9" s="11" t="s">
        <v>72</v>
      </c>
    </row>
    <row r="10" customFormat="false" ht="15" hidden="false" customHeight="true" outlineLevel="0" collapsed="false">
      <c r="A10" s="11" t="s">
        <v>58</v>
      </c>
      <c r="B10" s="12" t="s">
        <v>73</v>
      </c>
      <c r="C10" s="11" t="s">
        <v>74</v>
      </c>
      <c r="D10" s="13" t="s">
        <v>61</v>
      </c>
      <c r="E10" s="11"/>
    </row>
    <row r="11" customFormat="false" ht="15" hidden="false" customHeight="true" outlineLevel="0" collapsed="false">
      <c r="A11" s="11" t="s">
        <v>58</v>
      </c>
      <c r="B11" s="12" t="s">
        <v>75</v>
      </c>
      <c r="C11" s="11" t="s">
        <v>76</v>
      </c>
      <c r="D11" s="14" t="s">
        <v>68</v>
      </c>
      <c r="E11" s="11" t="s">
        <v>72</v>
      </c>
    </row>
    <row r="12" customFormat="false" ht="15" hidden="false" customHeight="true" outlineLevel="0" collapsed="false">
      <c r="A12" s="11" t="s">
        <v>58</v>
      </c>
      <c r="B12" s="12" t="s">
        <v>77</v>
      </c>
      <c r="C12" s="11" t="s">
        <v>78</v>
      </c>
      <c r="D12" s="13" t="s">
        <v>61</v>
      </c>
      <c r="E12" s="11"/>
    </row>
    <row r="13" customFormat="false" ht="15" hidden="false" customHeight="true" outlineLevel="0" collapsed="false">
      <c r="A13" s="11" t="s">
        <v>58</v>
      </c>
      <c r="B13" s="12" t="s">
        <v>79</v>
      </c>
      <c r="C13" s="11" t="s">
        <v>80</v>
      </c>
      <c r="D13" s="14" t="s">
        <v>68</v>
      </c>
      <c r="E13" s="11" t="s">
        <v>72</v>
      </c>
    </row>
    <row r="14" customFormat="false" ht="25.5" hidden="false" customHeight="true" outlineLevel="0" collapsed="false">
      <c r="A14" s="11" t="s">
        <v>81</v>
      </c>
      <c r="B14" s="12" t="s">
        <v>82</v>
      </c>
      <c r="C14" s="11" t="s">
        <v>83</v>
      </c>
      <c r="D14" s="13" t="s">
        <v>61</v>
      </c>
      <c r="E14" s="11"/>
    </row>
    <row r="15" customFormat="false" ht="15" hidden="false" customHeight="true" outlineLevel="0" collapsed="false">
      <c r="A15" s="11" t="s">
        <v>81</v>
      </c>
      <c r="B15" s="12" t="s">
        <v>84</v>
      </c>
      <c r="C15" s="11" t="s">
        <v>85</v>
      </c>
      <c r="D15" s="14" t="s">
        <v>68</v>
      </c>
      <c r="E15" s="11" t="s">
        <v>86</v>
      </c>
    </row>
    <row r="16" customFormat="false" ht="25.5" hidden="false" customHeight="true" outlineLevel="0" collapsed="false">
      <c r="A16" s="11" t="s">
        <v>81</v>
      </c>
      <c r="B16" s="12" t="s">
        <v>87</v>
      </c>
      <c r="C16" s="11" t="s">
        <v>88</v>
      </c>
      <c r="D16" s="14" t="s">
        <v>68</v>
      </c>
      <c r="E16" s="11" t="s">
        <v>89</v>
      </c>
    </row>
    <row r="17" customFormat="false" ht="15" hidden="false" customHeight="true" outlineLevel="0" collapsed="false">
      <c r="A17" s="11" t="s">
        <v>81</v>
      </c>
      <c r="B17" s="12" t="s">
        <v>90</v>
      </c>
      <c r="C17" s="11" t="s">
        <v>91</v>
      </c>
      <c r="D17" s="14" t="s">
        <v>68</v>
      </c>
      <c r="E17" s="11"/>
    </row>
    <row r="18" customFormat="false" ht="25.5" hidden="false" customHeight="true" outlineLevel="0" collapsed="false">
      <c r="A18" s="11" t="s">
        <v>81</v>
      </c>
      <c r="B18" s="12" t="s">
        <v>92</v>
      </c>
      <c r="C18" s="11" t="s">
        <v>93</v>
      </c>
      <c r="D18" s="14" t="s">
        <v>68</v>
      </c>
      <c r="E18" s="11" t="s">
        <v>94</v>
      </c>
    </row>
    <row r="19" customFormat="false" ht="15" hidden="false" customHeight="true" outlineLevel="0" collapsed="false">
      <c r="A19" s="11" t="s">
        <v>81</v>
      </c>
      <c r="B19" s="12" t="s">
        <v>95</v>
      </c>
      <c r="C19" s="11" t="s">
        <v>96</v>
      </c>
      <c r="D19" s="14" t="s">
        <v>68</v>
      </c>
      <c r="E19" s="11"/>
    </row>
    <row r="20" customFormat="false" ht="15" hidden="false" customHeight="true" outlineLevel="0" collapsed="false">
      <c r="A20" s="11" t="s">
        <v>81</v>
      </c>
      <c r="B20" s="12" t="s">
        <v>97</v>
      </c>
      <c r="C20" s="11" t="s">
        <v>98</v>
      </c>
      <c r="D20" s="15" t="s">
        <v>99</v>
      </c>
      <c r="E20" s="11" t="s">
        <v>100</v>
      </c>
    </row>
    <row r="21" customFormat="false" ht="15" hidden="false" customHeight="true" outlineLevel="0" collapsed="false">
      <c r="A21" s="11" t="s">
        <v>81</v>
      </c>
      <c r="B21" s="12" t="s">
        <v>101</v>
      </c>
      <c r="C21" s="11" t="s">
        <v>102</v>
      </c>
      <c r="D21" s="14" t="s">
        <v>68</v>
      </c>
      <c r="E21" s="11"/>
    </row>
    <row r="22" customFormat="false" ht="15" hidden="false" customHeight="true" outlineLevel="0" collapsed="false">
      <c r="A22" s="11" t="s">
        <v>103</v>
      </c>
      <c r="B22" s="12" t="s">
        <v>104</v>
      </c>
      <c r="C22" s="11" t="s">
        <v>105</v>
      </c>
      <c r="D22" s="13" t="s">
        <v>61</v>
      </c>
      <c r="E22" s="11"/>
    </row>
    <row r="23" customFormat="false" ht="15" hidden="false" customHeight="true" outlineLevel="0" collapsed="false">
      <c r="A23" s="11" t="s">
        <v>103</v>
      </c>
      <c r="B23" s="12" t="s">
        <v>106</v>
      </c>
      <c r="C23" s="11" t="s">
        <v>107</v>
      </c>
      <c r="D23" s="13" t="s">
        <v>61</v>
      </c>
      <c r="E23" s="11"/>
    </row>
    <row r="24" customFormat="false" ht="15" hidden="false" customHeight="true" outlineLevel="0" collapsed="false">
      <c r="A24" s="11" t="s">
        <v>103</v>
      </c>
      <c r="B24" s="12" t="s">
        <v>108</v>
      </c>
      <c r="C24" s="11" t="s">
        <v>109</v>
      </c>
      <c r="D24" s="15" t="s">
        <v>99</v>
      </c>
      <c r="E24" s="11" t="s">
        <v>110</v>
      </c>
    </row>
    <row r="25" customFormat="false" ht="15" hidden="false" customHeight="true" outlineLevel="0" collapsed="false">
      <c r="A25" s="11" t="s">
        <v>103</v>
      </c>
      <c r="B25" s="12" t="s">
        <v>41</v>
      </c>
      <c r="C25" s="11" t="s">
        <v>111</v>
      </c>
      <c r="D25" s="13" t="s">
        <v>61</v>
      </c>
      <c r="E25" s="11"/>
    </row>
    <row r="26" customFormat="false" ht="15" hidden="false" customHeight="true" outlineLevel="0" collapsed="false">
      <c r="A26" s="11" t="s">
        <v>103</v>
      </c>
      <c r="B26" s="12" t="s">
        <v>112</v>
      </c>
      <c r="C26" s="11" t="s">
        <v>113</v>
      </c>
      <c r="D26" s="13" t="s">
        <v>61</v>
      </c>
      <c r="E26" s="11"/>
    </row>
    <row r="27" customFormat="false" ht="15" hidden="false" customHeight="true" outlineLevel="0" collapsed="false">
      <c r="A27" s="11" t="s">
        <v>103</v>
      </c>
      <c r="B27" s="12" t="s">
        <v>114</v>
      </c>
      <c r="C27" s="11" t="s">
        <v>115</v>
      </c>
      <c r="D27" s="13" t="s">
        <v>61</v>
      </c>
      <c r="E27" s="11" t="s">
        <v>116</v>
      </c>
    </row>
    <row r="28" customFormat="false" ht="15" hidden="false" customHeight="true" outlineLevel="0" collapsed="false">
      <c r="A28" s="11" t="s">
        <v>103</v>
      </c>
      <c r="B28" s="12" t="s">
        <v>117</v>
      </c>
      <c r="C28" s="11" t="s">
        <v>118</v>
      </c>
      <c r="D28" s="13" t="s">
        <v>61</v>
      </c>
      <c r="E28" s="11"/>
    </row>
    <row r="29" customFormat="false" ht="15" hidden="false" customHeight="true" outlineLevel="0" collapsed="false">
      <c r="A29" s="11" t="s">
        <v>103</v>
      </c>
      <c r="B29" s="12" t="s">
        <v>119</v>
      </c>
      <c r="C29" s="11" t="s">
        <v>120</v>
      </c>
      <c r="D29" s="13" t="s">
        <v>61</v>
      </c>
      <c r="E29" s="11"/>
    </row>
    <row r="30" customFormat="false" ht="15" hidden="false" customHeight="true" outlineLevel="0" collapsed="false">
      <c r="A30" s="11" t="s">
        <v>103</v>
      </c>
      <c r="B30" s="12" t="s">
        <v>121</v>
      </c>
      <c r="C30" s="11" t="s">
        <v>122</v>
      </c>
      <c r="D30" s="13" t="s">
        <v>61</v>
      </c>
      <c r="E30" s="11"/>
    </row>
    <row r="31" customFormat="false" ht="25.5" hidden="false" customHeight="true" outlineLevel="0" collapsed="false">
      <c r="A31" s="11" t="s">
        <v>103</v>
      </c>
      <c r="B31" s="12" t="s">
        <v>123</v>
      </c>
      <c r="C31" s="11" t="s">
        <v>124</v>
      </c>
      <c r="D31" s="13" t="s">
        <v>61</v>
      </c>
      <c r="E31" s="11"/>
    </row>
    <row r="32" customFormat="false" ht="15" hidden="false" customHeight="true" outlineLevel="0" collapsed="false">
      <c r="A32" s="11" t="s">
        <v>103</v>
      </c>
      <c r="B32" s="12" t="s">
        <v>125</v>
      </c>
      <c r="C32" s="11" t="s">
        <v>126</v>
      </c>
      <c r="D32" s="13" t="s">
        <v>61</v>
      </c>
      <c r="E32" s="11"/>
    </row>
    <row r="33" customFormat="false" ht="25.5" hidden="false" customHeight="true" outlineLevel="0" collapsed="false">
      <c r="A33" s="11" t="s">
        <v>103</v>
      </c>
      <c r="B33" s="12" t="s">
        <v>127</v>
      </c>
      <c r="C33" s="11" t="s">
        <v>128</v>
      </c>
      <c r="D33" s="13" t="s">
        <v>61</v>
      </c>
      <c r="E33" s="11"/>
    </row>
    <row r="34" customFormat="false" ht="25.5" hidden="false" customHeight="true" outlineLevel="0" collapsed="false">
      <c r="A34" s="11" t="s">
        <v>103</v>
      </c>
      <c r="B34" s="12" t="s">
        <v>129</v>
      </c>
      <c r="C34" s="11" t="s">
        <v>130</v>
      </c>
      <c r="D34" s="13" t="s">
        <v>61</v>
      </c>
      <c r="E34" s="11"/>
    </row>
    <row r="35" customFormat="false" ht="25.5" hidden="false" customHeight="true" outlineLevel="0" collapsed="false">
      <c r="A35" s="11" t="s">
        <v>103</v>
      </c>
      <c r="B35" s="12" t="s">
        <v>131</v>
      </c>
      <c r="C35" s="11" t="s">
        <v>132</v>
      </c>
      <c r="D35" s="13" t="s">
        <v>61</v>
      </c>
      <c r="E35" s="11" t="s">
        <v>133</v>
      </c>
    </row>
    <row r="36" customFormat="false" ht="15" hidden="false" customHeight="true" outlineLevel="0" collapsed="false">
      <c r="A36" s="11" t="s">
        <v>103</v>
      </c>
      <c r="B36" s="12" t="s">
        <v>134</v>
      </c>
      <c r="C36" s="11" t="s">
        <v>135</v>
      </c>
      <c r="D36" s="13" t="s">
        <v>61</v>
      </c>
      <c r="E36" s="11"/>
    </row>
    <row r="37" customFormat="false" ht="25.5" hidden="false" customHeight="true" outlineLevel="0" collapsed="false">
      <c r="A37" s="11" t="s">
        <v>103</v>
      </c>
      <c r="B37" s="12" t="s">
        <v>136</v>
      </c>
      <c r="C37" s="11" t="s">
        <v>137</v>
      </c>
      <c r="D37" s="13" t="s">
        <v>61</v>
      </c>
      <c r="E37" s="11" t="s">
        <v>138</v>
      </c>
    </row>
    <row r="38" customFormat="false" ht="25.5" hidden="false" customHeight="true" outlineLevel="0" collapsed="false">
      <c r="A38" s="11" t="s">
        <v>103</v>
      </c>
      <c r="B38" s="12" t="s">
        <v>139</v>
      </c>
      <c r="C38" s="11" t="s">
        <v>140</v>
      </c>
      <c r="D38" s="13" t="s">
        <v>61</v>
      </c>
      <c r="E38" s="11"/>
    </row>
    <row r="39" customFormat="false" ht="25.5" hidden="false" customHeight="true" outlineLevel="0" collapsed="false">
      <c r="A39" s="11" t="s">
        <v>103</v>
      </c>
      <c r="B39" s="12" t="s">
        <v>141</v>
      </c>
      <c r="C39" s="11" t="s">
        <v>142</v>
      </c>
      <c r="D39" s="14" t="s">
        <v>68</v>
      </c>
      <c r="E39" s="11" t="s">
        <v>143</v>
      </c>
    </row>
    <row r="40" customFormat="false" ht="15" hidden="false" customHeight="true" outlineLevel="0" collapsed="false">
      <c r="A40" s="11" t="s">
        <v>103</v>
      </c>
      <c r="B40" s="12" t="s">
        <v>144</v>
      </c>
      <c r="C40" s="11" t="s">
        <v>145</v>
      </c>
      <c r="D40" s="14" t="s">
        <v>68</v>
      </c>
      <c r="E40" s="11"/>
    </row>
    <row r="41" customFormat="false" ht="38.25" hidden="false" customHeight="true" outlineLevel="0" collapsed="false">
      <c r="A41" s="11" t="s">
        <v>103</v>
      </c>
      <c r="B41" s="12" t="s">
        <v>146</v>
      </c>
      <c r="C41" s="11" t="s">
        <v>147</v>
      </c>
      <c r="D41" s="14" t="s">
        <v>68</v>
      </c>
      <c r="E41" s="11" t="s">
        <v>148</v>
      </c>
    </row>
    <row r="42" customFormat="false" ht="15" hidden="false" customHeight="true" outlineLevel="0" collapsed="false">
      <c r="A42" s="11" t="s">
        <v>149</v>
      </c>
      <c r="B42" s="12" t="s">
        <v>150</v>
      </c>
      <c r="C42" s="11" t="s">
        <v>151</v>
      </c>
      <c r="D42" s="13" t="s">
        <v>61</v>
      </c>
      <c r="E42" s="11"/>
    </row>
    <row r="43" customFormat="false" ht="25.5" hidden="false" customHeight="true" outlineLevel="0" collapsed="false">
      <c r="A43" s="11" t="s">
        <v>149</v>
      </c>
      <c r="B43" s="12" t="s">
        <v>152</v>
      </c>
      <c r="C43" s="11" t="s">
        <v>153</v>
      </c>
      <c r="D43" s="13" t="s">
        <v>61</v>
      </c>
      <c r="E43" s="11" t="s">
        <v>154</v>
      </c>
    </row>
    <row r="44" customFormat="false" ht="25.5" hidden="false" customHeight="true" outlineLevel="0" collapsed="false">
      <c r="A44" s="11" t="s">
        <v>149</v>
      </c>
      <c r="B44" s="12" t="s">
        <v>155</v>
      </c>
      <c r="C44" s="11" t="s">
        <v>156</v>
      </c>
      <c r="D44" s="13" t="s">
        <v>61</v>
      </c>
      <c r="E44" s="11" t="s">
        <v>157</v>
      </c>
    </row>
    <row r="45" customFormat="false" ht="25.5" hidden="false" customHeight="true" outlineLevel="0" collapsed="false">
      <c r="A45" s="11" t="s">
        <v>149</v>
      </c>
      <c r="B45" s="12" t="s">
        <v>158</v>
      </c>
      <c r="C45" s="11" t="s">
        <v>159</v>
      </c>
      <c r="D45" s="13" t="s">
        <v>61</v>
      </c>
      <c r="E45" s="11"/>
    </row>
    <row r="46" customFormat="false" ht="15" hidden="false" customHeight="true" outlineLevel="0" collapsed="false">
      <c r="A46" s="11" t="s">
        <v>149</v>
      </c>
      <c r="B46" s="12" t="s">
        <v>160</v>
      </c>
      <c r="C46" s="11" t="s">
        <v>161</v>
      </c>
      <c r="D46" s="13" t="s">
        <v>61</v>
      </c>
      <c r="E46" s="11" t="s">
        <v>162</v>
      </c>
    </row>
    <row r="47" customFormat="false" ht="15" hidden="false" customHeight="true" outlineLevel="0" collapsed="false">
      <c r="A47" s="11" t="s">
        <v>149</v>
      </c>
      <c r="B47" s="12" t="s">
        <v>163</v>
      </c>
      <c r="C47" s="11" t="s">
        <v>164</v>
      </c>
      <c r="D47" s="13" t="s">
        <v>61</v>
      </c>
      <c r="E47" s="11"/>
    </row>
    <row r="48" customFormat="false" ht="25.5" hidden="false" customHeight="true" outlineLevel="0" collapsed="false">
      <c r="A48" s="11" t="s">
        <v>149</v>
      </c>
      <c r="B48" s="12" t="s">
        <v>165</v>
      </c>
      <c r="C48" s="11" t="s">
        <v>166</v>
      </c>
      <c r="D48" s="15" t="s">
        <v>99</v>
      </c>
      <c r="E48" s="11"/>
    </row>
    <row r="49" customFormat="false" ht="15" hidden="false" customHeight="true" outlineLevel="0" collapsed="false">
      <c r="A49" s="11" t="s">
        <v>167</v>
      </c>
      <c r="B49" s="12" t="s">
        <v>168</v>
      </c>
      <c r="C49" s="11" t="s">
        <v>169</v>
      </c>
      <c r="D49" s="13" t="s">
        <v>61</v>
      </c>
      <c r="E49" s="11"/>
    </row>
    <row r="50" customFormat="false" ht="25.5" hidden="false" customHeight="true" outlineLevel="0" collapsed="false">
      <c r="A50" s="11" t="s">
        <v>167</v>
      </c>
      <c r="B50" s="12" t="s">
        <v>170</v>
      </c>
      <c r="C50" s="11" t="s">
        <v>171</v>
      </c>
      <c r="D50" s="13" t="s">
        <v>61</v>
      </c>
      <c r="E50" s="11"/>
    </row>
    <row r="51" customFormat="false" ht="25.5" hidden="false" customHeight="true" outlineLevel="0" collapsed="false">
      <c r="A51" s="11" t="s">
        <v>167</v>
      </c>
      <c r="B51" s="12" t="s">
        <v>172</v>
      </c>
      <c r="C51" s="11" t="s">
        <v>173</v>
      </c>
      <c r="D51" s="13" t="s">
        <v>61</v>
      </c>
      <c r="E51" s="11" t="s">
        <v>174</v>
      </c>
    </row>
    <row r="52" customFormat="false" ht="25.5" hidden="false" customHeight="true" outlineLevel="0" collapsed="false">
      <c r="A52" s="11" t="s">
        <v>167</v>
      </c>
      <c r="B52" s="12" t="s">
        <v>175</v>
      </c>
      <c r="C52" s="11" t="s">
        <v>176</v>
      </c>
      <c r="D52" s="13" t="s">
        <v>61</v>
      </c>
      <c r="E52" s="11" t="s">
        <v>177</v>
      </c>
    </row>
    <row r="53" customFormat="false" ht="38.25" hidden="false" customHeight="true" outlineLevel="0" collapsed="false">
      <c r="A53" s="11" t="s">
        <v>167</v>
      </c>
      <c r="B53" s="12" t="s">
        <v>178</v>
      </c>
      <c r="C53" s="11" t="s">
        <v>179</v>
      </c>
      <c r="D53" s="14" t="s">
        <v>68</v>
      </c>
      <c r="E53" s="11" t="s">
        <v>180</v>
      </c>
    </row>
    <row r="54" customFormat="false" ht="25.5" hidden="false" customHeight="true" outlineLevel="0" collapsed="false">
      <c r="A54" s="11" t="s">
        <v>167</v>
      </c>
      <c r="B54" s="12" t="s">
        <v>181</v>
      </c>
      <c r="C54" s="11" t="s">
        <v>182</v>
      </c>
      <c r="D54" s="14" t="s">
        <v>68</v>
      </c>
      <c r="E54" s="11" t="s">
        <v>183</v>
      </c>
    </row>
    <row r="55" customFormat="false" ht="38.25" hidden="false" customHeight="true" outlineLevel="0" collapsed="false">
      <c r="A55" s="11" t="s">
        <v>167</v>
      </c>
      <c r="B55" s="12" t="s">
        <v>184</v>
      </c>
      <c r="C55" s="11" t="s">
        <v>185</v>
      </c>
      <c r="D55" s="13" t="s">
        <v>61</v>
      </c>
      <c r="E55" s="11" t="s">
        <v>186</v>
      </c>
    </row>
    <row r="56" customFormat="false" ht="25.5" hidden="false" customHeight="true" outlineLevel="0" collapsed="false">
      <c r="A56" s="11" t="s">
        <v>167</v>
      </c>
      <c r="B56" s="12" t="s">
        <v>187</v>
      </c>
      <c r="C56" s="11" t="s">
        <v>188</v>
      </c>
      <c r="D56" s="13" t="s">
        <v>61</v>
      </c>
      <c r="E56" s="11" t="s">
        <v>189</v>
      </c>
    </row>
    <row r="57" customFormat="false" ht="38.25" hidden="false" customHeight="true" outlineLevel="0" collapsed="false">
      <c r="A57" s="11" t="s">
        <v>167</v>
      </c>
      <c r="B57" s="12" t="s">
        <v>190</v>
      </c>
      <c r="C57" s="11" t="s">
        <v>191</v>
      </c>
      <c r="D57" s="13" t="s">
        <v>61</v>
      </c>
      <c r="E57" s="11" t="s">
        <v>192</v>
      </c>
    </row>
    <row r="58" customFormat="false" ht="25.5" hidden="false" customHeight="true" outlineLevel="0" collapsed="false">
      <c r="A58" s="11" t="s">
        <v>167</v>
      </c>
      <c r="B58" s="12" t="s">
        <v>193</v>
      </c>
      <c r="C58" s="11" t="s">
        <v>194</v>
      </c>
      <c r="D58" s="14" t="s">
        <v>68</v>
      </c>
      <c r="E58" s="11" t="s">
        <v>195</v>
      </c>
    </row>
    <row r="59" customFormat="false" ht="15" hidden="false" customHeight="true" outlineLevel="0" collapsed="false">
      <c r="A59" s="11" t="s">
        <v>196</v>
      </c>
      <c r="B59" s="12" t="s">
        <v>197</v>
      </c>
      <c r="C59" s="11" t="s">
        <v>198</v>
      </c>
      <c r="D59" s="13" t="s">
        <v>61</v>
      </c>
      <c r="E59" s="11"/>
    </row>
    <row r="60" customFormat="false" ht="15" hidden="false" customHeight="true" outlineLevel="0" collapsed="false">
      <c r="A60" s="11" t="s">
        <v>196</v>
      </c>
      <c r="B60" s="12" t="s">
        <v>199</v>
      </c>
      <c r="C60" s="11" t="s">
        <v>200</v>
      </c>
      <c r="D60" s="13" t="s">
        <v>61</v>
      </c>
      <c r="E60" s="11"/>
    </row>
    <row r="61" customFormat="false" ht="15" hidden="false" customHeight="true" outlineLevel="0" collapsed="false">
      <c r="A61" s="11" t="s">
        <v>196</v>
      </c>
      <c r="B61" s="12" t="s">
        <v>201</v>
      </c>
      <c r="C61" s="11" t="s">
        <v>202</v>
      </c>
      <c r="D61" s="13" t="s">
        <v>61</v>
      </c>
      <c r="E61" s="11"/>
    </row>
    <row r="62" customFormat="false" ht="25.5" hidden="false" customHeight="true" outlineLevel="0" collapsed="false">
      <c r="A62" s="11" t="s">
        <v>196</v>
      </c>
      <c r="B62" s="12" t="s">
        <v>203</v>
      </c>
      <c r="C62" s="11" t="s">
        <v>204</v>
      </c>
      <c r="D62" s="14" t="s">
        <v>68</v>
      </c>
      <c r="E62" s="11" t="s">
        <v>205</v>
      </c>
    </row>
    <row r="63" customFormat="false" ht="25.5" hidden="false" customHeight="true" outlineLevel="0" collapsed="false">
      <c r="A63" s="11" t="s">
        <v>206</v>
      </c>
      <c r="B63" s="12" t="s">
        <v>207</v>
      </c>
      <c r="C63" s="11" t="s">
        <v>208</v>
      </c>
      <c r="D63" s="15" t="s">
        <v>99</v>
      </c>
      <c r="E63" s="11" t="s">
        <v>209</v>
      </c>
    </row>
    <row r="64" customFormat="false" ht="15" hidden="false" customHeight="true" outlineLevel="0" collapsed="false">
      <c r="A64" s="11" t="s">
        <v>206</v>
      </c>
      <c r="B64" s="12" t="s">
        <v>210</v>
      </c>
      <c r="C64" s="11" t="s">
        <v>211</v>
      </c>
      <c r="D64" s="14" t="s">
        <v>68</v>
      </c>
      <c r="E64" s="11" t="s">
        <v>212</v>
      </c>
    </row>
    <row r="65" customFormat="false" ht="25.5" hidden="false" customHeight="true" outlineLevel="0" collapsed="false">
      <c r="A65" s="11" t="s">
        <v>206</v>
      </c>
      <c r="B65" s="12" t="s">
        <v>213</v>
      </c>
      <c r="C65" s="11" t="s">
        <v>214</v>
      </c>
      <c r="D65" s="14" t="s">
        <v>68</v>
      </c>
      <c r="E65" s="11"/>
    </row>
    <row r="66" customFormat="false" ht="25.5" hidden="false" customHeight="true" outlineLevel="0" collapsed="false">
      <c r="A66" s="11" t="s">
        <v>206</v>
      </c>
      <c r="B66" s="12" t="s">
        <v>165</v>
      </c>
      <c r="C66" s="11" t="s">
        <v>215</v>
      </c>
      <c r="D66" s="15" t="s">
        <v>99</v>
      </c>
      <c r="E66" s="11"/>
    </row>
    <row r="67" customFormat="false" ht="25.5" hidden="false" customHeight="true" outlineLevel="0" collapsed="false">
      <c r="A67" s="11" t="s">
        <v>216</v>
      </c>
      <c r="B67" s="12" t="s">
        <v>217</v>
      </c>
      <c r="C67" s="11" t="s">
        <v>218</v>
      </c>
      <c r="D67" s="13" t="s">
        <v>61</v>
      </c>
      <c r="E67" s="11"/>
    </row>
    <row r="68" customFormat="false" ht="25.5" hidden="false" customHeight="true" outlineLevel="0" collapsed="false">
      <c r="A68" s="11" t="s">
        <v>216</v>
      </c>
      <c r="B68" s="12" t="s">
        <v>219</v>
      </c>
      <c r="C68" s="11" t="s">
        <v>220</v>
      </c>
      <c r="D68" s="14" t="s">
        <v>68</v>
      </c>
      <c r="E68" s="11"/>
    </row>
    <row r="69" customFormat="false" ht="25.5" hidden="false" customHeight="true" outlineLevel="0" collapsed="false">
      <c r="A69" s="11" t="s">
        <v>216</v>
      </c>
      <c r="B69" s="12" t="s">
        <v>221</v>
      </c>
      <c r="C69" s="11" t="s">
        <v>222</v>
      </c>
      <c r="D69" s="14" t="s">
        <v>68</v>
      </c>
      <c r="E69" s="11" t="s">
        <v>223</v>
      </c>
    </row>
    <row r="70" customFormat="false" ht="25.5" hidden="false" customHeight="true" outlineLevel="0" collapsed="false">
      <c r="A70" s="11" t="s">
        <v>216</v>
      </c>
      <c r="B70" s="12" t="s">
        <v>224</v>
      </c>
      <c r="C70" s="11" t="s">
        <v>225</v>
      </c>
      <c r="D70" s="15" t="s">
        <v>99</v>
      </c>
      <c r="E70" s="11" t="s">
        <v>226</v>
      </c>
    </row>
    <row r="71" customFormat="false" ht="25.5" hidden="false" customHeight="true" outlineLevel="0" collapsed="false">
      <c r="A71" s="11" t="s">
        <v>216</v>
      </c>
      <c r="B71" s="12" t="s">
        <v>227</v>
      </c>
      <c r="C71" s="11" t="s">
        <v>228</v>
      </c>
      <c r="D71" s="14" t="s">
        <v>68</v>
      </c>
      <c r="E71" s="11" t="s">
        <v>229</v>
      </c>
    </row>
    <row r="72" customFormat="false" ht="25.5" hidden="false" customHeight="true" outlineLevel="0" collapsed="false">
      <c r="A72" s="11" t="s">
        <v>216</v>
      </c>
      <c r="B72" s="12" t="s">
        <v>230</v>
      </c>
      <c r="C72" s="11" t="s">
        <v>231</v>
      </c>
      <c r="D72" s="14" t="s">
        <v>68</v>
      </c>
      <c r="E72" s="11"/>
    </row>
    <row r="73" customFormat="false" ht="25.5" hidden="false" customHeight="true" outlineLevel="0" collapsed="false">
      <c r="A73" s="11" t="s">
        <v>216</v>
      </c>
      <c r="B73" s="12" t="s">
        <v>232</v>
      </c>
      <c r="C73" s="11" t="s">
        <v>233</v>
      </c>
      <c r="D73" s="14" t="s">
        <v>68</v>
      </c>
      <c r="E73" s="11" t="s">
        <v>234</v>
      </c>
    </row>
    <row r="74" customFormat="false" ht="38.25" hidden="false" customHeight="true" outlineLevel="0" collapsed="false">
      <c r="A74" s="11" t="s">
        <v>235</v>
      </c>
      <c r="B74" s="12" t="s">
        <v>236</v>
      </c>
      <c r="C74" s="11" t="s">
        <v>237</v>
      </c>
      <c r="D74" s="16" t="s">
        <v>238</v>
      </c>
      <c r="E74" s="11" t="s">
        <v>239</v>
      </c>
    </row>
    <row r="75" customFormat="false" ht="38.25" hidden="false" customHeight="true" outlineLevel="0" collapsed="false">
      <c r="A75" s="11" t="s">
        <v>235</v>
      </c>
      <c r="B75" s="12" t="s">
        <v>240</v>
      </c>
      <c r="C75" s="11" t="s">
        <v>241</v>
      </c>
      <c r="D75" s="16" t="s">
        <v>238</v>
      </c>
      <c r="E75" s="11" t="s">
        <v>242</v>
      </c>
    </row>
    <row r="76" customFormat="false" ht="38.25" hidden="false" customHeight="true" outlineLevel="0" collapsed="false">
      <c r="A76" s="11" t="s">
        <v>235</v>
      </c>
      <c r="B76" s="12" t="s">
        <v>243</v>
      </c>
      <c r="C76" s="11" t="s">
        <v>244</v>
      </c>
      <c r="D76" s="16" t="s">
        <v>238</v>
      </c>
      <c r="E76" s="11" t="s">
        <v>245</v>
      </c>
    </row>
    <row r="77" customFormat="false" ht="25.5" hidden="false" customHeight="true" outlineLevel="0" collapsed="false">
      <c r="A77" s="11" t="s">
        <v>235</v>
      </c>
      <c r="B77" s="12" t="s">
        <v>246</v>
      </c>
      <c r="C77" s="11" t="s">
        <v>247</v>
      </c>
      <c r="D77" s="15" t="s">
        <v>99</v>
      </c>
      <c r="E77" s="11" t="s">
        <v>248</v>
      </c>
    </row>
    <row r="78" customFormat="false" ht="23.25" hidden="false" customHeight="true" outlineLevel="0" collapsed="false">
      <c r="A78" s="11" t="s">
        <v>81</v>
      </c>
      <c r="B78" s="12" t="s">
        <v>249</v>
      </c>
      <c r="C78" s="11" t="s">
        <v>250</v>
      </c>
      <c r="D78" s="13" t="s">
        <v>61</v>
      </c>
      <c r="E78" s="11" t="s">
        <v>251</v>
      </c>
    </row>
    <row r="79" customFormat="false" ht="23.25" hidden="false" customHeight="true" outlineLevel="0" collapsed="false">
      <c r="A79" s="11" t="s">
        <v>196</v>
      </c>
      <c r="B79" s="12" t="s">
        <v>252</v>
      </c>
      <c r="C79" s="11" t="s">
        <v>253</v>
      </c>
      <c r="D79" s="13" t="s">
        <v>61</v>
      </c>
      <c r="E79" s="11" t="s">
        <v>254</v>
      </c>
    </row>
    <row r="80" customFormat="false" ht="23.25" hidden="false" customHeight="true" outlineLevel="0" collapsed="false">
      <c r="A80" s="11" t="s">
        <v>206</v>
      </c>
      <c r="B80" s="12" t="s">
        <v>255</v>
      </c>
      <c r="C80" s="11" t="s">
        <v>256</v>
      </c>
      <c r="D80" s="13" t="s">
        <v>61</v>
      </c>
      <c r="E80" s="11" t="s">
        <v>257</v>
      </c>
    </row>
    <row r="81" customFormat="false" ht="23.25" hidden="false" customHeight="true" outlineLevel="0" collapsed="false">
      <c r="A81" s="11" t="s">
        <v>167</v>
      </c>
      <c r="B81" s="12" t="s">
        <v>258</v>
      </c>
      <c r="C81" s="11" t="s">
        <v>259</v>
      </c>
      <c r="D81" s="13" t="s">
        <v>61</v>
      </c>
      <c r="E81" s="11" t="s">
        <v>260</v>
      </c>
    </row>
    <row r="82" customFormat="false" ht="23.25" hidden="false" customHeight="true" outlineLevel="0" collapsed="false">
      <c r="A82" s="11" t="s">
        <v>167</v>
      </c>
      <c r="B82" s="12" t="s">
        <v>261</v>
      </c>
      <c r="C82" s="11" t="s">
        <v>262</v>
      </c>
      <c r="D82" s="13" t="s">
        <v>61</v>
      </c>
      <c r="E82" s="11" t="s">
        <v>263</v>
      </c>
    </row>
    <row r="83" customFormat="false" ht="23.25" hidden="false" customHeight="true" outlineLevel="0" collapsed="false">
      <c r="A83" s="11" t="s">
        <v>149</v>
      </c>
      <c r="B83" s="12" t="s">
        <v>264</v>
      </c>
      <c r="C83" s="11" t="s">
        <v>265</v>
      </c>
      <c r="D83" s="13" t="s">
        <v>61</v>
      </c>
      <c r="E83" s="11" t="s">
        <v>266</v>
      </c>
    </row>
    <row r="84" customFormat="false" ht="23.25" hidden="false" customHeight="true" outlineLevel="0" collapsed="false">
      <c r="A84" s="11" t="s">
        <v>81</v>
      </c>
      <c r="B84" s="12" t="s">
        <v>267</v>
      </c>
      <c r="C84" s="11" t="s">
        <v>268</v>
      </c>
      <c r="D84" s="13" t="s">
        <v>61</v>
      </c>
      <c r="E84" s="11"/>
    </row>
    <row r="85" customFormat="false" ht="15" hidden="false" customHeight="true" outlineLevel="0" collapsed="false">
      <c r="A85" s="11" t="s">
        <v>81</v>
      </c>
      <c r="B85" s="12" t="s">
        <v>269</v>
      </c>
      <c r="C85" s="11" t="s">
        <v>270</v>
      </c>
      <c r="D85" s="13" t="s">
        <v>61</v>
      </c>
      <c r="E85" s="11"/>
    </row>
    <row r="86" customFormat="false" ht="34.5" hidden="false" customHeight="true" outlineLevel="0" collapsed="false">
      <c r="A86" s="11" t="s">
        <v>81</v>
      </c>
      <c r="B86" s="12" t="s">
        <v>271</v>
      </c>
      <c r="C86" s="11" t="s">
        <v>272</v>
      </c>
      <c r="D86" s="13" t="s">
        <v>61</v>
      </c>
      <c r="E86" s="11" t="s">
        <v>273</v>
      </c>
    </row>
    <row r="87" customFormat="false" ht="23.25" hidden="false" customHeight="true" outlineLevel="0" collapsed="false">
      <c r="A87" s="11" t="s">
        <v>81</v>
      </c>
      <c r="B87" s="12" t="s">
        <v>274</v>
      </c>
      <c r="C87" s="11" t="s">
        <v>275</v>
      </c>
      <c r="D87" s="14" t="s">
        <v>68</v>
      </c>
      <c r="E87" s="11" t="s">
        <v>276</v>
      </c>
    </row>
    <row r="88" customFormat="false" ht="34.5" hidden="false" customHeight="true" outlineLevel="0" collapsed="false">
      <c r="A88" s="11" t="s">
        <v>81</v>
      </c>
      <c r="B88" s="12" t="s">
        <v>277</v>
      </c>
      <c r="C88" s="11" t="s">
        <v>278</v>
      </c>
      <c r="D88" s="14" t="s">
        <v>68</v>
      </c>
      <c r="E88" s="11" t="s">
        <v>279</v>
      </c>
    </row>
  </sheetData>
  <autoFilter ref="A4:E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2" activeCellId="0" sqref="A12"/>
    </sheetView>
  </sheetViews>
  <sheetFormatPr defaultColWidth="8.71484375" defaultRowHeight="15" zeroHeight="false" outlineLevelRow="0" outlineLevelCol="0"/>
  <cols>
    <col collapsed="false" customWidth="true" hidden="false" outlineLevel="0" max="1" min="1" style="1" width="22"/>
    <col collapsed="false" customWidth="true" hidden="false" outlineLevel="0" max="9" min="2" style="1" width="12"/>
    <col collapsed="false" customWidth="true" hidden="false" outlineLevel="0" max="10" min="10" style="1" width="40"/>
    <col collapsed="false" customWidth="true" hidden="false" outlineLevel="0" max="11" min="11" style="1" width="18"/>
    <col collapsed="false" customWidth="true" hidden="false" outlineLevel="0" max="12" min="12" style="1" width="44"/>
  </cols>
  <sheetData>
    <row r="1" customFormat="false" ht="18" hidden="false" customHeight="true" outlineLevel="0" collapsed="false">
      <c r="A1" s="2" t="s">
        <v>280</v>
      </c>
    </row>
    <row r="2" customFormat="false" ht="15" hidden="false" customHeight="true" outlineLevel="0" collapsed="false">
      <c r="A2" s="9" t="s">
        <v>281</v>
      </c>
    </row>
    <row r="4" customFormat="false" ht="24" hidden="false" customHeight="true" outlineLevel="0" collapsed="false">
      <c r="A4" s="10"/>
      <c r="B4" s="10" t="s">
        <v>282</v>
      </c>
      <c r="C4" s="10" t="s">
        <v>283</v>
      </c>
      <c r="D4" s="10" t="s">
        <v>284</v>
      </c>
      <c r="E4" s="10" t="s">
        <v>285</v>
      </c>
      <c r="F4" s="10" t="s">
        <v>129</v>
      </c>
    </row>
    <row r="5" customFormat="false" ht="15" hidden="false" customHeight="true" outlineLevel="0" collapsed="false">
      <c r="A5" s="17" t="s">
        <v>197</v>
      </c>
      <c r="B5" s="18" t="n">
        <v>1000</v>
      </c>
      <c r="C5" s="18" t="n">
        <v>100</v>
      </c>
      <c r="D5" s="18" t="n">
        <v>40</v>
      </c>
      <c r="E5" s="18" t="n">
        <v>100</v>
      </c>
      <c r="F5" s="18" t="n">
        <v>15</v>
      </c>
    </row>
    <row r="6" customFormat="false" ht="15" hidden="false" customHeight="true" outlineLevel="0" collapsed="false">
      <c r="A6" s="19" t="s">
        <v>286</v>
      </c>
    </row>
    <row r="8" customFormat="false" ht="42" hidden="false" customHeight="true" outlineLevel="0" collapsed="false">
      <c r="A8" s="10" t="s">
        <v>287</v>
      </c>
      <c r="B8" s="10" t="s">
        <v>288</v>
      </c>
      <c r="C8" s="10" t="s">
        <v>289</v>
      </c>
      <c r="D8" s="10" t="s">
        <v>290</v>
      </c>
      <c r="E8" s="10" t="s">
        <v>291</v>
      </c>
      <c r="F8" s="10" t="s">
        <v>292</v>
      </c>
      <c r="G8" s="10" t="s">
        <v>293</v>
      </c>
      <c r="H8" s="10" t="s">
        <v>294</v>
      </c>
      <c r="I8" s="10" t="s">
        <v>295</v>
      </c>
      <c r="J8" s="10" t="s">
        <v>296</v>
      </c>
      <c r="K8" s="10" t="s">
        <v>297</v>
      </c>
      <c r="L8" s="10" t="s">
        <v>57</v>
      </c>
    </row>
    <row r="9" customFormat="false" ht="15" hidden="false" customHeight="true" outlineLevel="0" collapsed="false">
      <c r="A9" s="17" t="s">
        <v>298</v>
      </c>
      <c r="B9" s="20" t="n">
        <v>1.3</v>
      </c>
      <c r="C9" s="20" t="n">
        <v>1.5</v>
      </c>
      <c r="D9" s="20" t="n">
        <v>0.6</v>
      </c>
      <c r="E9" s="20" t="n">
        <v>0.8</v>
      </c>
      <c r="F9" s="20" t="n">
        <v>1.3</v>
      </c>
      <c r="G9" s="20" t="n">
        <v>1.7</v>
      </c>
      <c r="H9" s="20" t="n">
        <v>0.85</v>
      </c>
      <c r="I9" s="20" t="n">
        <v>0.95</v>
      </c>
      <c r="J9" s="21" t="s">
        <v>299</v>
      </c>
      <c r="K9" s="21" t="n">
        <v>60</v>
      </c>
      <c r="L9" s="21" t="s">
        <v>300</v>
      </c>
    </row>
    <row r="10" customFormat="false" ht="15" hidden="false" customHeight="true" outlineLevel="0" collapsed="false">
      <c r="A10" s="17" t="s">
        <v>301</v>
      </c>
      <c r="B10" s="20" t="n">
        <v>0.75</v>
      </c>
      <c r="C10" s="20" t="n">
        <v>0.9</v>
      </c>
      <c r="D10" s="20" t="n">
        <v>1.3</v>
      </c>
      <c r="E10" s="20" t="n">
        <v>1.5</v>
      </c>
      <c r="F10" s="20" t="n">
        <v>0.8</v>
      </c>
      <c r="G10" s="20" t="n">
        <v>1</v>
      </c>
      <c r="H10" s="20" t="n">
        <v>0.95</v>
      </c>
      <c r="I10" s="20" t="n">
        <v>1.05</v>
      </c>
      <c r="J10" s="21" t="s">
        <v>302</v>
      </c>
      <c r="K10" s="21" t="n">
        <v>100</v>
      </c>
      <c r="L10" s="21" t="s">
        <v>303</v>
      </c>
    </row>
    <row r="11" customFormat="false" ht="25.5" hidden="false" customHeight="true" outlineLevel="0" collapsed="false">
      <c r="A11" s="17" t="s">
        <v>304</v>
      </c>
      <c r="B11" s="20" t="n">
        <v>0.8</v>
      </c>
      <c r="C11" s="20" t="n">
        <v>0.95</v>
      </c>
      <c r="D11" s="20" t="n">
        <v>1</v>
      </c>
      <c r="E11" s="20" t="n">
        <v>1.15</v>
      </c>
      <c r="F11" s="20" t="n">
        <v>0.8</v>
      </c>
      <c r="G11" s="20" t="n">
        <v>1</v>
      </c>
      <c r="H11" s="20" t="n">
        <v>1</v>
      </c>
      <c r="I11" s="20" t="n">
        <v>1.1</v>
      </c>
      <c r="J11" s="21" t="s">
        <v>305</v>
      </c>
      <c r="K11" s="21" t="n">
        <v>110</v>
      </c>
      <c r="L11" s="21" t="s">
        <v>306</v>
      </c>
    </row>
    <row r="12" customFormat="false" ht="15" hidden="false" customHeight="true" outlineLevel="0" collapsed="false">
      <c r="A12" s="17" t="s">
        <v>307</v>
      </c>
      <c r="B12" s="20" t="n">
        <v>0.9</v>
      </c>
      <c r="C12" s="20" t="n">
        <v>1.1</v>
      </c>
      <c r="D12" s="20" t="n">
        <v>0.6</v>
      </c>
      <c r="E12" s="20" t="n">
        <v>0.8</v>
      </c>
      <c r="F12" s="20" t="n">
        <v>0.9</v>
      </c>
      <c r="G12" s="20" t="n">
        <v>1.1</v>
      </c>
      <c r="H12" s="20" t="n">
        <v>1.05</v>
      </c>
      <c r="I12" s="20" t="n">
        <v>1.15</v>
      </c>
      <c r="J12" s="21" t="s">
        <v>308</v>
      </c>
      <c r="K12" s="21" t="n">
        <v>100</v>
      </c>
      <c r="L12" s="21" t="s">
        <v>309</v>
      </c>
    </row>
    <row r="13" customFormat="false" ht="15" hidden="false" customHeight="true" outlineLevel="0" collapsed="false">
      <c r="A13" s="17" t="s">
        <v>310</v>
      </c>
      <c r="B13" s="20" t="n">
        <v>0.7</v>
      </c>
      <c r="C13" s="20" t="n">
        <v>0.85</v>
      </c>
      <c r="D13" s="20" t="n">
        <v>1.2</v>
      </c>
      <c r="E13" s="20" t="n">
        <v>1.4</v>
      </c>
      <c r="F13" s="20" t="n">
        <v>0.6</v>
      </c>
      <c r="G13" s="20" t="n">
        <v>0.8</v>
      </c>
      <c r="H13" s="20" t="n">
        <v>1.15</v>
      </c>
      <c r="I13" s="20" t="n">
        <v>1.3</v>
      </c>
      <c r="J13" s="21" t="s">
        <v>311</v>
      </c>
      <c r="K13" s="21" t="n">
        <v>90</v>
      </c>
      <c r="L13" s="21" t="s">
        <v>312</v>
      </c>
    </row>
    <row r="14" customFormat="false" ht="23.25" hidden="false" customHeight="true" outlineLevel="0" collapsed="false">
      <c r="A14" s="17" t="s">
        <v>313</v>
      </c>
      <c r="B14" s="20" t="n">
        <v>1.1</v>
      </c>
      <c r="C14" s="20" t="n">
        <v>1.3</v>
      </c>
      <c r="D14" s="20" t="n">
        <v>0.8</v>
      </c>
      <c r="E14" s="20" t="n">
        <v>1</v>
      </c>
      <c r="F14" s="20" t="n">
        <v>1.1</v>
      </c>
      <c r="G14" s="20" t="n">
        <v>1.4</v>
      </c>
      <c r="H14" s="20" t="n">
        <v>0.8</v>
      </c>
      <c r="I14" s="20" t="n">
        <v>0.95</v>
      </c>
      <c r="J14" s="21" t="s">
        <v>314</v>
      </c>
      <c r="K14" s="21" t="n">
        <v>120</v>
      </c>
      <c r="L14" s="21" t="s">
        <v>315</v>
      </c>
    </row>
    <row r="15" customFormat="false" ht="23.25" hidden="false" customHeight="true" outlineLevel="0" collapsed="false">
      <c r="A15" s="17" t="s">
        <v>316</v>
      </c>
      <c r="B15" s="20" t="n">
        <v>0.8</v>
      </c>
      <c r="C15" s="20" t="n">
        <v>1</v>
      </c>
      <c r="D15" s="20" t="n">
        <v>0.75</v>
      </c>
      <c r="E15" s="20" t="n">
        <v>1</v>
      </c>
      <c r="F15" s="20" t="n">
        <v>0.8</v>
      </c>
      <c r="G15" s="20" t="n">
        <v>1.1</v>
      </c>
      <c r="H15" s="20" t="n">
        <v>1.1</v>
      </c>
      <c r="I15" s="20" t="n">
        <v>1.2</v>
      </c>
      <c r="J15" s="21" t="s">
        <v>317</v>
      </c>
      <c r="K15" s="21" t="n">
        <v>110</v>
      </c>
      <c r="L15" s="21" t="s">
        <v>318</v>
      </c>
    </row>
    <row r="16" customFormat="false" ht="15" hidden="false" customHeight="true" outlineLevel="0" collapsed="false">
      <c r="A16" s="19"/>
    </row>
    <row r="17" customFormat="false" ht="15" hidden="false" customHeight="true" outlineLevel="0" collapsed="false">
      <c r="A17" s="19" t="s">
        <v>319</v>
      </c>
    </row>
    <row r="18" customFormat="false" ht="15" hidden="false" customHeight="true" outlineLevel="0" collapsed="false">
      <c r="A18" s="19" t="s">
        <v>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E13" activePane="bottomRight" state="frozen"/>
      <selection pane="topLeft" activeCell="A1" activeCellId="0" sqref="A1"/>
      <selection pane="topRight" activeCell="E1" activeCellId="0" sqref="E1"/>
      <selection pane="bottomLeft" activeCell="A13" activeCellId="0" sqref="A13"/>
      <selection pane="bottomRight" activeCell="H16" activeCellId="0" sqref="H16"/>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3" min="2" style="1" width="24"/>
    <col collapsed="false" customWidth="true" hidden="false" outlineLevel="0" max="4" min="4" style="1" width="20"/>
    <col collapsed="false" customWidth="true" hidden="false" outlineLevel="0" max="5" min="5" style="1" width="16"/>
    <col collapsed="false" customWidth="true" hidden="false" outlineLevel="0" max="6" min="6" style="1" width="47.42"/>
    <col collapsed="false" customWidth="true" hidden="false" outlineLevel="0" max="7" min="7" style="1" width="40"/>
    <col collapsed="false" customWidth="true" hidden="false" outlineLevel="0" max="8" min="8" style="1" width="36"/>
  </cols>
  <sheetData>
    <row r="1" customFormat="false" ht="18" hidden="false" customHeight="true" outlineLevel="0" collapsed="false">
      <c r="A1" s="2" t="s">
        <v>321</v>
      </c>
    </row>
    <row r="2" customFormat="false" ht="15" hidden="false" customHeight="true" outlineLevel="0" collapsed="false">
      <c r="A2" s="9" t="s">
        <v>322</v>
      </c>
    </row>
    <row r="4" customFormat="false" ht="42" hidden="false" customHeight="true" outlineLevel="0" collapsed="false">
      <c r="A4" s="10" t="s">
        <v>323</v>
      </c>
      <c r="B4" s="10" t="s">
        <v>324</v>
      </c>
      <c r="C4" s="10" t="s">
        <v>325</v>
      </c>
      <c r="D4" s="10" t="s">
        <v>326</v>
      </c>
      <c r="E4" s="10" t="s">
        <v>327</v>
      </c>
      <c r="F4" s="10" t="s">
        <v>328</v>
      </c>
      <c r="G4" s="10" t="s">
        <v>329</v>
      </c>
      <c r="H4" s="10" t="s">
        <v>57</v>
      </c>
    </row>
    <row r="6" customFormat="false" ht="38.25" hidden="false" customHeight="true" outlineLevel="0" collapsed="false">
      <c r="A6" s="17" t="s">
        <v>330</v>
      </c>
      <c r="B6" s="21" t="s">
        <v>331</v>
      </c>
      <c r="C6" s="21"/>
      <c r="D6" s="21" t="s">
        <v>298</v>
      </c>
      <c r="E6" s="21" t="s">
        <v>332</v>
      </c>
      <c r="F6" s="21" t="s">
        <v>333</v>
      </c>
      <c r="G6" s="21" t="s">
        <v>334</v>
      </c>
      <c r="H6" s="21"/>
    </row>
    <row r="7" customFormat="false" ht="51" hidden="false" customHeight="true" outlineLevel="0" collapsed="false">
      <c r="A7" s="17" t="s">
        <v>335</v>
      </c>
      <c r="B7" s="21" t="s">
        <v>336</v>
      </c>
      <c r="C7" s="21"/>
      <c r="D7" s="21" t="s">
        <v>298</v>
      </c>
      <c r="E7" s="21" t="s">
        <v>332</v>
      </c>
      <c r="F7" s="21" t="s">
        <v>337</v>
      </c>
      <c r="G7" s="21" t="s">
        <v>338</v>
      </c>
      <c r="H7" s="21"/>
    </row>
    <row r="8" customFormat="false" ht="38.25" hidden="false" customHeight="true" outlineLevel="0" collapsed="false">
      <c r="A8" s="17" t="s">
        <v>339</v>
      </c>
      <c r="B8" s="21" t="s">
        <v>340</v>
      </c>
      <c r="C8" s="21"/>
      <c r="D8" s="21" t="s">
        <v>301</v>
      </c>
      <c r="E8" s="21" t="s">
        <v>341</v>
      </c>
      <c r="F8" s="21" t="s">
        <v>342</v>
      </c>
      <c r="G8" s="21" t="s">
        <v>343</v>
      </c>
      <c r="H8" s="21"/>
    </row>
    <row r="9" customFormat="false" ht="51" hidden="false" customHeight="true" outlineLevel="0" collapsed="false">
      <c r="A9" s="17" t="s">
        <v>344</v>
      </c>
      <c r="B9" s="21" t="s">
        <v>345</v>
      </c>
      <c r="C9" s="21"/>
      <c r="D9" s="21" t="s">
        <v>301</v>
      </c>
      <c r="E9" s="21" t="s">
        <v>341</v>
      </c>
      <c r="F9" s="21" t="s">
        <v>346</v>
      </c>
      <c r="G9" s="21" t="s">
        <v>347</v>
      </c>
      <c r="H9" s="21"/>
    </row>
    <row r="10" customFormat="false" ht="51" hidden="false" customHeight="true" outlineLevel="0" collapsed="false">
      <c r="A10" s="17" t="s">
        <v>348</v>
      </c>
      <c r="B10" s="21" t="s">
        <v>349</v>
      </c>
      <c r="C10" s="21"/>
      <c r="D10" s="21" t="s">
        <v>304</v>
      </c>
      <c r="E10" s="21" t="s">
        <v>341</v>
      </c>
      <c r="F10" s="21" t="s">
        <v>350</v>
      </c>
      <c r="G10" s="21" t="s">
        <v>351</v>
      </c>
      <c r="H10" s="21"/>
    </row>
    <row r="11" customFormat="false" ht="38.25" hidden="false" customHeight="true" outlineLevel="0" collapsed="false">
      <c r="A11" s="17" t="s">
        <v>352</v>
      </c>
      <c r="B11" s="21" t="s">
        <v>353</v>
      </c>
      <c r="C11" s="21"/>
      <c r="D11" s="21" t="s">
        <v>307</v>
      </c>
      <c r="E11" s="21" t="s">
        <v>341</v>
      </c>
      <c r="F11" s="21" t="s">
        <v>354</v>
      </c>
      <c r="G11" s="21" t="s">
        <v>355</v>
      </c>
      <c r="H11" s="21"/>
    </row>
    <row r="12" customFormat="false" ht="51" hidden="false" customHeight="true" outlineLevel="0" collapsed="false">
      <c r="A12" s="17" t="s">
        <v>356</v>
      </c>
      <c r="B12" s="21" t="s">
        <v>357</v>
      </c>
      <c r="C12" s="21"/>
      <c r="D12" s="21" t="s">
        <v>307</v>
      </c>
      <c r="E12" s="21" t="s">
        <v>341</v>
      </c>
      <c r="F12" s="21" t="s">
        <v>358</v>
      </c>
      <c r="G12" s="21" t="s">
        <v>359</v>
      </c>
      <c r="H12" s="21"/>
    </row>
    <row r="13" customFormat="false" ht="38.25" hidden="false" customHeight="true" outlineLevel="0" collapsed="false">
      <c r="A13" s="17" t="s">
        <v>360</v>
      </c>
      <c r="B13" s="21" t="s">
        <v>361</v>
      </c>
      <c r="C13" s="21"/>
      <c r="D13" s="21" t="s">
        <v>310</v>
      </c>
      <c r="E13" s="21" t="s">
        <v>341</v>
      </c>
      <c r="F13" s="21" t="s">
        <v>362</v>
      </c>
      <c r="G13" s="21" t="s">
        <v>363</v>
      </c>
      <c r="H13" s="21"/>
    </row>
    <row r="14" customFormat="false" ht="51" hidden="false" customHeight="true" outlineLevel="0" collapsed="false">
      <c r="A14" s="17" t="s">
        <v>364</v>
      </c>
      <c r="B14" s="21" t="s">
        <v>365</v>
      </c>
      <c r="C14" s="21"/>
      <c r="D14" s="21" t="s">
        <v>366</v>
      </c>
      <c r="E14" s="21" t="s">
        <v>332</v>
      </c>
      <c r="F14" s="21" t="s">
        <v>367</v>
      </c>
      <c r="G14" s="21" t="s">
        <v>368</v>
      </c>
      <c r="H14" s="21"/>
    </row>
    <row r="15" customFormat="false" ht="63.75" hidden="false" customHeight="true" outlineLevel="0" collapsed="false">
      <c r="A15" s="17" t="s">
        <v>369</v>
      </c>
      <c r="B15" s="21" t="s">
        <v>370</v>
      </c>
      <c r="C15" s="21"/>
      <c r="D15" s="21" t="s">
        <v>371</v>
      </c>
      <c r="E15" s="21" t="s">
        <v>341</v>
      </c>
      <c r="F15" s="21" t="s">
        <v>372</v>
      </c>
      <c r="G15" s="21" t="s">
        <v>373</v>
      </c>
      <c r="H15" s="21" t="s">
        <v>374</v>
      </c>
    </row>
    <row r="16" customFormat="false" ht="15" hidden="false" customHeight="true" outlineLevel="0" collapsed="false">
      <c r="A16" s="17" t="s">
        <v>375</v>
      </c>
      <c r="B16" s="21"/>
      <c r="C16" s="21"/>
      <c r="D16" s="21"/>
      <c r="E16" s="21"/>
      <c r="F16" s="21"/>
      <c r="G16" s="21"/>
      <c r="H16" s="21"/>
    </row>
    <row r="17" customFormat="false" ht="15" hidden="false" customHeight="true" outlineLevel="0" collapsed="false">
      <c r="A17" s="17" t="s">
        <v>376</v>
      </c>
      <c r="B17" s="21"/>
      <c r="C17" s="21"/>
      <c r="D17" s="21"/>
      <c r="E17" s="21"/>
      <c r="F17" s="21"/>
      <c r="G17" s="21"/>
      <c r="H17" s="21"/>
    </row>
    <row r="18" customFormat="false" ht="15" hidden="false" customHeight="true" outlineLevel="0" collapsed="false">
      <c r="A18" s="17" t="s">
        <v>377</v>
      </c>
      <c r="B18" s="21"/>
      <c r="C18" s="21"/>
      <c r="D18" s="21"/>
      <c r="E18" s="21"/>
      <c r="F18" s="21"/>
      <c r="G18" s="21"/>
      <c r="H18" s="21"/>
    </row>
    <row r="19" customFormat="false" ht="15" hidden="false" customHeight="true" outlineLevel="0" collapsed="false">
      <c r="A19" s="17" t="s">
        <v>378</v>
      </c>
      <c r="B19" s="21"/>
      <c r="C19" s="21"/>
      <c r="D19" s="21"/>
      <c r="E19" s="21"/>
      <c r="F19" s="21"/>
      <c r="G19" s="21"/>
      <c r="H19" s="21"/>
    </row>
    <row r="20" customFormat="false" ht="15" hidden="false" customHeight="true" outlineLevel="0" collapsed="false">
      <c r="A20" s="17" t="s">
        <v>379</v>
      </c>
      <c r="B20" s="21"/>
      <c r="C20" s="21"/>
      <c r="D20" s="21"/>
      <c r="E20" s="21"/>
      <c r="F20" s="21"/>
      <c r="G20" s="21"/>
      <c r="H20" s="21"/>
    </row>
    <row r="21" customFormat="false" ht="15" hidden="false" customHeight="true" outlineLevel="0" collapsed="false">
      <c r="A21" s="17" t="s">
        <v>380</v>
      </c>
      <c r="B21" s="21"/>
      <c r="C21" s="21"/>
      <c r="D21" s="21"/>
      <c r="E21" s="21"/>
      <c r="F21" s="21"/>
      <c r="G21" s="21"/>
      <c r="H21" s="21"/>
    </row>
    <row r="22" customFormat="false" ht="15" hidden="false" customHeight="true" outlineLevel="0" collapsed="false">
      <c r="A22" s="17" t="s">
        <v>381</v>
      </c>
      <c r="B22" s="21"/>
      <c r="C22" s="21"/>
      <c r="D22" s="21"/>
      <c r="E22" s="21"/>
      <c r="F22" s="21"/>
      <c r="G22" s="21"/>
      <c r="H22" s="21"/>
    </row>
    <row r="23" customFormat="false" ht="15" hidden="false" customHeight="true" outlineLevel="0" collapsed="false">
      <c r="A23" s="17" t="s">
        <v>382</v>
      </c>
      <c r="B23" s="21"/>
      <c r="C23" s="21"/>
      <c r="D23" s="21"/>
      <c r="E23" s="21"/>
      <c r="F23" s="21"/>
      <c r="G23" s="21"/>
      <c r="H23" s="21"/>
    </row>
    <row r="24" customFormat="false" ht="15" hidden="false" customHeight="true" outlineLevel="0" collapsed="false">
      <c r="A24" s="17" t="s">
        <v>383</v>
      </c>
      <c r="B24" s="21"/>
      <c r="C24" s="21"/>
      <c r="D24" s="21"/>
      <c r="E24" s="21"/>
      <c r="F24" s="21"/>
      <c r="G24" s="21"/>
      <c r="H24" s="21"/>
    </row>
    <row r="25" customFormat="false" ht="15" hidden="false" customHeight="true" outlineLevel="0" collapsed="false">
      <c r="A25" s="17" t="s">
        <v>384</v>
      </c>
      <c r="B25" s="21"/>
      <c r="C25" s="21"/>
      <c r="D25" s="21"/>
      <c r="E25" s="21"/>
      <c r="F25" s="21"/>
      <c r="G25" s="21"/>
      <c r="H25" s="21"/>
    </row>
    <row r="26" customFormat="false" ht="15" hidden="false" customHeight="true" outlineLevel="0" collapsed="false">
      <c r="A26" s="17" t="s">
        <v>385</v>
      </c>
      <c r="B26" s="21"/>
      <c r="C26" s="21"/>
      <c r="D26" s="21"/>
      <c r="E26" s="21"/>
      <c r="F26" s="21"/>
      <c r="G26" s="21"/>
      <c r="H26" s="21"/>
    </row>
    <row r="27" customFormat="false" ht="15" hidden="false" customHeight="true" outlineLevel="0" collapsed="false">
      <c r="A27" s="17" t="s">
        <v>386</v>
      </c>
      <c r="B27" s="21"/>
      <c r="C27" s="21"/>
      <c r="D27" s="21"/>
      <c r="E27" s="21"/>
      <c r="F27" s="21"/>
      <c r="G27" s="21"/>
      <c r="H27" s="21"/>
    </row>
    <row r="28" customFormat="false" ht="15" hidden="false" customHeight="true" outlineLevel="0" collapsed="false">
      <c r="A28" s="17" t="s">
        <v>387</v>
      </c>
      <c r="B28" s="21"/>
      <c r="C28" s="21"/>
      <c r="D28" s="21"/>
      <c r="E28" s="21"/>
      <c r="F28" s="21"/>
      <c r="G28" s="21"/>
      <c r="H28" s="21"/>
    </row>
    <row r="29" customFormat="false" ht="15" hidden="false" customHeight="true" outlineLevel="0" collapsed="false">
      <c r="A29" s="17" t="s">
        <v>388</v>
      </c>
      <c r="B29" s="21"/>
      <c r="C29" s="21"/>
      <c r="D29" s="21"/>
      <c r="E29" s="21"/>
      <c r="F29" s="21"/>
      <c r="G29" s="21"/>
      <c r="H29" s="21"/>
    </row>
    <row r="30" customFormat="false" ht="15" hidden="false" customHeight="true" outlineLevel="0" collapsed="false">
      <c r="A30" s="17" t="s">
        <v>389</v>
      </c>
      <c r="B30" s="21"/>
      <c r="C30" s="21"/>
      <c r="D30" s="21"/>
      <c r="E30" s="21"/>
      <c r="F30" s="21"/>
      <c r="G30" s="21"/>
      <c r="H30" s="21"/>
    </row>
    <row r="31" customFormat="false" ht="15" hidden="false" customHeight="true" outlineLevel="0" collapsed="false">
      <c r="A31" s="17" t="s">
        <v>390</v>
      </c>
      <c r="B31" s="21"/>
      <c r="C31" s="21"/>
      <c r="D31" s="21"/>
      <c r="E31" s="21"/>
      <c r="F31" s="21"/>
      <c r="G31" s="21"/>
      <c r="H31" s="21"/>
    </row>
    <row r="32" customFormat="false" ht="15" hidden="false" customHeight="true" outlineLevel="0" collapsed="false">
      <c r="A32" s="17" t="s">
        <v>391</v>
      </c>
      <c r="B32" s="21"/>
      <c r="C32" s="21"/>
      <c r="D32" s="21"/>
      <c r="E32" s="21"/>
      <c r="F32" s="21"/>
      <c r="G32" s="21"/>
      <c r="H32" s="21"/>
    </row>
    <row r="33" customFormat="false" ht="15" hidden="false" customHeight="true" outlineLevel="0" collapsed="false">
      <c r="A33" s="17" t="s">
        <v>392</v>
      </c>
      <c r="B33" s="21"/>
      <c r="C33" s="21"/>
      <c r="D33" s="21"/>
      <c r="E33" s="21"/>
      <c r="F33" s="21"/>
      <c r="G33" s="21"/>
      <c r="H33" s="21"/>
    </row>
    <row r="34" customFormat="false" ht="15" hidden="false" customHeight="true" outlineLevel="0" collapsed="false">
      <c r="A34" s="17" t="s">
        <v>393</v>
      </c>
      <c r="B34" s="21"/>
      <c r="C34" s="21"/>
      <c r="D34" s="21"/>
      <c r="E34" s="21"/>
      <c r="F34" s="21"/>
      <c r="G34" s="21"/>
      <c r="H34" s="21"/>
    </row>
  </sheetData>
  <dataValidations count="2">
    <dataValidation allowBlank="true" error="Giá trị này không có trong DANH_MỤC. Vẫn dùng được nhưng nên thêm vào danh sách." errorStyle="warning" errorTitle="Ngoài danh sách" operator="between" showDropDown="false" showErrorMessage="true" showInputMessage="false" sqref="D6:D34" type="list">
      <formula1>DANH_MỤC!$A$2:$A$8</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E6:E34" type="list">
      <formula1>DANH_MỤC!$B$2:$B$4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4" activeCellId="0" sqref="A14"/>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12"/>
    <col collapsed="false" customWidth="true" hidden="false" outlineLevel="0" max="7" min="4" style="1" width="10"/>
    <col collapsed="false" customWidth="true" hidden="false" outlineLevel="0" max="8" min="8" style="1" width="12"/>
    <col collapsed="false" customWidth="true" hidden="false" outlineLevel="0" max="9" min="9" style="1" width="10"/>
    <col collapsed="false" customWidth="true" hidden="false" outlineLevel="0" max="10" min="10" style="1" width="12"/>
    <col collapsed="false" customWidth="true" hidden="false" outlineLevel="0" max="11" min="11" style="1" width="14"/>
    <col collapsed="false" customWidth="true" hidden="false" outlineLevel="0" max="12" min="12" style="1" width="16"/>
    <col collapsed="false" customWidth="true" hidden="false" outlineLevel="0" max="13" min="13" style="1" width="14"/>
    <col collapsed="false" customWidth="true" hidden="false" outlineLevel="0" max="14" min="14" style="1" width="16"/>
    <col collapsed="false" customWidth="true" hidden="false" outlineLevel="0" max="15" min="15" style="1" width="18"/>
  </cols>
  <sheetData>
    <row r="1" customFormat="false" ht="18" hidden="false" customHeight="true" outlineLevel="0" collapsed="false">
      <c r="A1" s="2" t="s">
        <v>394</v>
      </c>
    </row>
    <row r="2" customFormat="false" ht="15" hidden="false" customHeight="true" outlineLevel="0" collapsed="false">
      <c r="A2" s="9" t="s">
        <v>395</v>
      </c>
    </row>
    <row r="4" customFormat="false" ht="42" hidden="false" customHeight="true" outlineLevel="0" collapsed="false">
      <c r="A4" s="10" t="s">
        <v>323</v>
      </c>
      <c r="B4" s="10" t="s">
        <v>324</v>
      </c>
      <c r="C4" s="10" t="s">
        <v>287</v>
      </c>
      <c r="D4" s="10" t="s">
        <v>282</v>
      </c>
      <c r="E4" s="10" t="s">
        <v>283</v>
      </c>
      <c r="F4" s="10" t="s">
        <v>284</v>
      </c>
      <c r="G4" s="10" t="s">
        <v>285</v>
      </c>
      <c r="H4" s="10" t="s">
        <v>396</v>
      </c>
      <c r="I4" s="10" t="s">
        <v>397</v>
      </c>
      <c r="J4" s="10" t="s">
        <v>398</v>
      </c>
      <c r="K4" s="10" t="s">
        <v>399</v>
      </c>
      <c r="L4" s="10" t="s">
        <v>400</v>
      </c>
      <c r="M4" s="10" t="s">
        <v>401</v>
      </c>
      <c r="N4" s="10" t="s">
        <v>402</v>
      </c>
      <c r="O4" s="10" t="s">
        <v>403</v>
      </c>
    </row>
    <row r="6" customFormat="false" ht="15" hidden="false" customHeight="true" outlineLevel="0" collapsed="false">
      <c r="A6" s="22" t="str">
        <f aca="false">NHÂN_VẬT!$A$6</f>
        <v>NV01</v>
      </c>
      <c r="B6" s="22" t="str">
        <f aca="false">IF(NHÂN_VẬT!$B$6="","",NHÂN_VẬT!$B$6)</f>
        <v>HCM-THỦ KHO HIẾU</v>
      </c>
      <c r="C6" s="22" t="str">
        <f aca="false">IF(NHÂN_VẬT!$D$6="","",NHÂN_VẬT!$D$6)</f>
        <v>Tank</v>
      </c>
      <c r="D6" s="18" t="n">
        <v>1500</v>
      </c>
      <c r="E6" s="18" t="n">
        <v>65</v>
      </c>
      <c r="F6" s="18" t="n">
        <v>64</v>
      </c>
      <c r="G6" s="23" t="n">
        <v>88</v>
      </c>
      <c r="H6" s="23" t="n">
        <v>24</v>
      </c>
      <c r="I6" s="24" t="n">
        <v>0.02</v>
      </c>
      <c r="J6" s="24" t="n">
        <v>0.02</v>
      </c>
      <c r="K6" s="24" t="n">
        <v>0.03</v>
      </c>
      <c r="L6" s="25" t="n">
        <v>1.5</v>
      </c>
      <c r="M6" s="24" t="n">
        <v>0.06</v>
      </c>
      <c r="N6" s="26" t="n">
        <f aca="false">IF(OR(D6="",E6="",F6=""),"",D6*(100+F6)/100*E6/(KHUNG_VAI_TRÒ!$B$5*(100+KHUNG_VAI_TRÒ!$D$5)/100*KHUNG_VAI_TRÒ!$C$5))</f>
        <v>1.14214285714286</v>
      </c>
      <c r="O6" s="22" t="str">
        <f aca="false">IF(OR(D6="",E6="",F6="",G6="",C6=""),"",IFERROR(IF(AND(D6/KHUNG_VAI_TRÒ!$B$5&gt;=INDEX(KHUNG_VAI_TRÒ!$B$9:$B$15,MATCH($C6,KHUNG_VAI_TRÒ!$A$9:$A$15,0))-0.0001,D6/KHUNG_VAI_TRÒ!$B$5&lt;=INDEX(KHUNG_VAI_TRÒ!$C$9:$C$15,MATCH($C6,KHUNG_VAI_TRÒ!$A$9:$A$15,0))+0.0001,E6/KHUNG_VAI_TRÒ!$C$5&gt;=INDEX(KHUNG_VAI_TRÒ!$D$9:$D$15,MATCH($C6,KHUNG_VAI_TRÒ!$A$9:$A$15,0))-0.0001,E6/KHUNG_VAI_TRÒ!$C$5&lt;=INDEX(KHUNG_VAI_TRÒ!$E$9:$E$15,MATCH($C6,KHUNG_VAI_TRÒ!$A$9:$A$15,0))+0.0001,F6/KHUNG_VAI_TRÒ!$D$5&gt;=INDEX(KHUNG_VAI_TRÒ!$F$9:$F$15,MATCH($C6,KHUNG_VAI_TRÒ!$A$9:$A$15,0))-0.0001,F6/KHUNG_VAI_TRÒ!$D$5&lt;=INDEX(KHUNG_VAI_TRÒ!$G$9:$G$15,MATCH($C6,KHUNG_VAI_TRÒ!$A$9:$A$15,0))+0.0001,G6/KHUNG_VAI_TRÒ!$E$5&gt;=INDEX(KHUNG_VAI_TRÒ!$H$9:$H$15,MATCH($C6,KHUNG_VAI_TRÒ!$A$9:$A$15,0))-0.0001,G6/KHUNG_VAI_TRÒ!$E$5&lt;=INDEX(KHUNG_VAI_TRÒ!$I$9:$I$15,MATCH($C6,KHUNG_VAI_TRÒ!$A$9:$A$15,0))+0.0001),"OK","Ngoài khung"),"Vai trò?"))</f>
        <v>OK</v>
      </c>
    </row>
    <row r="7" customFormat="false" ht="15" hidden="false" customHeight="true" outlineLevel="0" collapsed="false">
      <c r="A7" s="22" t="str">
        <f aca="false">NHÂN_VẬT!$A$7</f>
        <v>NV02</v>
      </c>
      <c r="B7" s="22" t="str">
        <f aca="false">IF(NHÂN_VẬT!$B$7="","",NHÂN_VẬT!$B$7)</f>
        <v>HN-PHỤ KHO HƯNG</v>
      </c>
      <c r="C7" s="22" t="str">
        <f aca="false">IF(NHÂN_VẬT!$D$7="","",NHÂN_VẬT!$D$7)</f>
        <v>Tank</v>
      </c>
      <c r="D7" s="18" t="n">
        <v>1350</v>
      </c>
      <c r="E7" s="18" t="n">
        <v>75</v>
      </c>
      <c r="F7" s="18" t="n">
        <v>56</v>
      </c>
      <c r="G7" s="23" t="n">
        <v>92</v>
      </c>
      <c r="H7" s="23" t="n">
        <v>20</v>
      </c>
      <c r="I7" s="24" t="n">
        <v>0.03</v>
      </c>
      <c r="J7" s="24" t="n">
        <v>0.02</v>
      </c>
      <c r="K7" s="24" t="n">
        <v>0.03</v>
      </c>
      <c r="L7" s="25" t="n">
        <v>1.5</v>
      </c>
      <c r="M7" s="24" t="n">
        <v>0.05</v>
      </c>
      <c r="N7" s="26" t="n">
        <f aca="false">IF(OR(D7="",E7="",F7=""),"",D7*(100+F7)/100*E7/(KHUNG_VAI_TRÒ!$B$5*(100+KHUNG_VAI_TRÒ!$D$5)/100*KHUNG_VAI_TRÒ!$C$5))</f>
        <v>1.12821428571429</v>
      </c>
      <c r="O7" s="22" t="str">
        <f aca="false">IF(OR(D7="",E7="",F7="",G7="",C7=""),"",IFERROR(IF(AND(D7/KHUNG_VAI_TRÒ!$B$5&gt;=INDEX(KHUNG_VAI_TRÒ!$B$9:$B$15,MATCH($C7,KHUNG_VAI_TRÒ!$A$9:$A$15,0))-0.0001,D7/KHUNG_VAI_TRÒ!$B$5&lt;=INDEX(KHUNG_VAI_TRÒ!$C$9:$C$15,MATCH($C7,KHUNG_VAI_TRÒ!$A$9:$A$15,0))+0.0001,E7/KHUNG_VAI_TRÒ!$C$5&gt;=INDEX(KHUNG_VAI_TRÒ!$D$9:$D$15,MATCH($C7,KHUNG_VAI_TRÒ!$A$9:$A$15,0))-0.0001,E7/KHUNG_VAI_TRÒ!$C$5&lt;=INDEX(KHUNG_VAI_TRÒ!$E$9:$E$15,MATCH($C7,KHUNG_VAI_TRÒ!$A$9:$A$15,0))+0.0001,F7/KHUNG_VAI_TRÒ!$D$5&gt;=INDEX(KHUNG_VAI_TRÒ!$F$9:$F$15,MATCH($C7,KHUNG_VAI_TRÒ!$A$9:$A$15,0))-0.0001,F7/KHUNG_VAI_TRÒ!$D$5&lt;=INDEX(KHUNG_VAI_TRÒ!$G$9:$G$15,MATCH($C7,KHUNG_VAI_TRÒ!$A$9:$A$15,0))+0.0001,G7/KHUNG_VAI_TRÒ!$E$5&gt;=INDEX(KHUNG_VAI_TRÒ!$H$9:$H$15,MATCH($C7,KHUNG_VAI_TRÒ!$A$9:$A$15,0))-0.0001,G7/KHUNG_VAI_TRÒ!$E$5&lt;=INDEX(KHUNG_VAI_TRÒ!$I$9:$I$15,MATCH($C7,KHUNG_VAI_TRÒ!$A$9:$A$15,0))+0.0001),"OK","Ngoài khung"),"Vai trò?"))</f>
        <v>OK</v>
      </c>
    </row>
    <row r="8" customFormat="false" ht="15" hidden="false" customHeight="true" outlineLevel="0" collapsed="false">
      <c r="A8" s="22" t="str">
        <f aca="false">NHÂN_VẬT!$A$8</f>
        <v>NV03</v>
      </c>
      <c r="B8" s="22" t="str">
        <f aca="false">IF(NHÂN_VẬT!$B$8="","",NHÂN_VẬT!$B$8)</f>
        <v>HCM-PHỤ KHO VŨ</v>
      </c>
      <c r="C8" s="22" t="str">
        <f aca="false">IF(NHÂN_VẬT!$D$8="","",NHÂN_VẬT!$D$8)</f>
        <v>Vật lý</v>
      </c>
      <c r="D8" s="18" t="n">
        <v>820</v>
      </c>
      <c r="E8" s="18" t="n">
        <v>140</v>
      </c>
      <c r="F8" s="18" t="n">
        <v>36</v>
      </c>
      <c r="G8" s="23" t="n">
        <v>97</v>
      </c>
      <c r="H8" s="23" t="n">
        <v>10</v>
      </c>
      <c r="I8" s="24" t="n">
        <v>0.03</v>
      </c>
      <c r="J8" s="24" t="n">
        <v>0.04</v>
      </c>
      <c r="K8" s="24" t="n">
        <v>0.06</v>
      </c>
      <c r="L8" s="25" t="n">
        <v>1.6</v>
      </c>
      <c r="M8" s="24" t="n">
        <v>0.01</v>
      </c>
      <c r="N8" s="26" t="n">
        <f aca="false">IF(OR(D8="",E8="",F8=""),"",D8*(100+F8)/100*E8/(KHUNG_VAI_TRÒ!$B$5*(100+KHUNG_VAI_TRÒ!$D$5)/100*KHUNG_VAI_TRÒ!$C$5))</f>
        <v>1.1152</v>
      </c>
      <c r="O8" s="22" t="str">
        <f aca="false">IF(OR(D8="",E8="",F8="",G8="",C8=""),"",IFERROR(IF(AND(D8/KHUNG_VAI_TRÒ!$B$5&gt;=INDEX(KHUNG_VAI_TRÒ!$B$9:$B$15,MATCH($C8,KHUNG_VAI_TRÒ!$A$9:$A$15,0))-0.0001,D8/KHUNG_VAI_TRÒ!$B$5&lt;=INDEX(KHUNG_VAI_TRÒ!$C$9:$C$15,MATCH($C8,KHUNG_VAI_TRÒ!$A$9:$A$15,0))+0.0001,E8/KHUNG_VAI_TRÒ!$C$5&gt;=INDEX(KHUNG_VAI_TRÒ!$D$9:$D$15,MATCH($C8,KHUNG_VAI_TRÒ!$A$9:$A$15,0))-0.0001,E8/KHUNG_VAI_TRÒ!$C$5&lt;=INDEX(KHUNG_VAI_TRÒ!$E$9:$E$15,MATCH($C8,KHUNG_VAI_TRÒ!$A$9:$A$15,0))+0.0001,F8/KHUNG_VAI_TRÒ!$D$5&gt;=INDEX(KHUNG_VAI_TRÒ!$F$9:$F$15,MATCH($C8,KHUNG_VAI_TRÒ!$A$9:$A$15,0))-0.0001,F8/KHUNG_VAI_TRÒ!$D$5&lt;=INDEX(KHUNG_VAI_TRÒ!$G$9:$G$15,MATCH($C8,KHUNG_VAI_TRÒ!$A$9:$A$15,0))+0.0001,G8/KHUNG_VAI_TRÒ!$E$5&gt;=INDEX(KHUNG_VAI_TRÒ!$H$9:$H$15,MATCH($C8,KHUNG_VAI_TRÒ!$A$9:$A$15,0))-0.0001,G8/KHUNG_VAI_TRÒ!$E$5&lt;=INDEX(KHUNG_VAI_TRÒ!$I$9:$I$15,MATCH($C8,KHUNG_VAI_TRÒ!$A$9:$A$15,0))+0.0001),"OK","Ngoài khung"),"Vai trò?"))</f>
        <v>OK</v>
      </c>
    </row>
    <row r="9" customFormat="false" ht="15" hidden="false" customHeight="true" outlineLevel="0" collapsed="false">
      <c r="A9" s="22" t="str">
        <f aca="false">NHÂN_VẬT!$A$9</f>
        <v>NV04</v>
      </c>
      <c r="B9" s="22" t="str">
        <f aca="false">IF(NHÂN_VẬT!$B$9="","",NHÂN_VẬT!$B$9)</f>
        <v>HCM-SALE THẢO</v>
      </c>
      <c r="C9" s="22" t="str">
        <f aca="false">IF(NHÂN_VẬT!$D$9="","",NHÂN_VẬT!$D$9)</f>
        <v>Vật lý</v>
      </c>
      <c r="D9" s="18" t="n">
        <v>880</v>
      </c>
      <c r="E9" s="18" t="n">
        <v>130</v>
      </c>
      <c r="F9" s="18" t="n">
        <v>34</v>
      </c>
      <c r="G9" s="23" t="n">
        <v>101</v>
      </c>
      <c r="H9" s="23" t="n">
        <v>10</v>
      </c>
      <c r="I9" s="24" t="n">
        <v>0.03</v>
      </c>
      <c r="J9" s="24" t="n">
        <v>0.05</v>
      </c>
      <c r="K9" s="24" t="n">
        <v>0.05</v>
      </c>
      <c r="L9" s="25" t="n">
        <v>1.55</v>
      </c>
      <c r="M9" s="24" t="n">
        <v>0.01</v>
      </c>
      <c r="N9" s="26" t="n">
        <f aca="false">IF(OR(D9="",E9="",F9=""),"",D9*(100+F9)/100*E9/(KHUNG_VAI_TRÒ!$B$5*(100+KHUNG_VAI_TRÒ!$D$5)/100*KHUNG_VAI_TRÒ!$C$5))</f>
        <v>1.09497142857143</v>
      </c>
      <c r="O9" s="22" t="str">
        <f aca="false">IF(OR(D9="",E9="",F9="",G9="",C9=""),"",IFERROR(IF(AND(D9/KHUNG_VAI_TRÒ!$B$5&gt;=INDEX(KHUNG_VAI_TRÒ!$B$9:$B$15,MATCH($C9,KHUNG_VAI_TRÒ!$A$9:$A$15,0))-0.0001,D9/KHUNG_VAI_TRÒ!$B$5&lt;=INDEX(KHUNG_VAI_TRÒ!$C$9:$C$15,MATCH($C9,KHUNG_VAI_TRÒ!$A$9:$A$15,0))+0.0001,E9/KHUNG_VAI_TRÒ!$C$5&gt;=INDEX(KHUNG_VAI_TRÒ!$D$9:$D$15,MATCH($C9,KHUNG_VAI_TRÒ!$A$9:$A$15,0))-0.0001,E9/KHUNG_VAI_TRÒ!$C$5&lt;=INDEX(KHUNG_VAI_TRÒ!$E$9:$E$15,MATCH($C9,KHUNG_VAI_TRÒ!$A$9:$A$15,0))+0.0001,F9/KHUNG_VAI_TRÒ!$D$5&gt;=INDEX(KHUNG_VAI_TRÒ!$F$9:$F$15,MATCH($C9,KHUNG_VAI_TRÒ!$A$9:$A$15,0))-0.0001,F9/KHUNG_VAI_TRÒ!$D$5&lt;=INDEX(KHUNG_VAI_TRÒ!$G$9:$G$15,MATCH($C9,KHUNG_VAI_TRÒ!$A$9:$A$15,0))+0.0001,G9/KHUNG_VAI_TRÒ!$E$5&gt;=INDEX(KHUNG_VAI_TRÒ!$H$9:$H$15,MATCH($C9,KHUNG_VAI_TRÒ!$A$9:$A$15,0))-0.0001,G9/KHUNG_VAI_TRÒ!$E$5&lt;=INDEX(KHUNG_VAI_TRÒ!$I$9:$I$15,MATCH($C9,KHUNG_VAI_TRÒ!$A$9:$A$15,0))+0.0001),"OK","Ngoài khung"),"Vai trò?"))</f>
        <v>OK</v>
      </c>
    </row>
    <row r="10" customFormat="false" ht="15" hidden="false" customHeight="true" outlineLevel="0" collapsed="false">
      <c r="A10" s="22" t="str">
        <f aca="false">NHÂN_VẬT!$A$10</f>
        <v>NV05</v>
      </c>
      <c r="B10" s="22" t="str">
        <f aca="false">IF(NHÂN_VẬT!$B$10="","",NHÂN_VẬT!$B$10)</f>
        <v>HCM-SALE DƯƠNG</v>
      </c>
      <c r="C10" s="22" t="str">
        <f aca="false">IF(NHÂN_VẬT!$D$10="","",NHÂN_VẬT!$D$10)</f>
        <v>Phép</v>
      </c>
      <c r="D10" s="18" t="n">
        <v>880</v>
      </c>
      <c r="E10" s="18" t="n">
        <v>108</v>
      </c>
      <c r="F10" s="18" t="n">
        <v>36</v>
      </c>
      <c r="G10" s="23" t="n">
        <v>105</v>
      </c>
      <c r="H10" s="23" t="n">
        <v>12</v>
      </c>
      <c r="I10" s="24" t="n">
        <v>0.04</v>
      </c>
      <c r="J10" s="24" t="n">
        <v>0.04</v>
      </c>
      <c r="K10" s="24" t="n">
        <v>0.04</v>
      </c>
      <c r="L10" s="25" t="n">
        <v>1.5</v>
      </c>
      <c r="M10" s="24" t="n">
        <v>0.02</v>
      </c>
      <c r="N10" s="26" t="n">
        <f aca="false">IF(OR(D10="",E10="",F10=""),"",D10*(100+F10)/100*E10/(KHUNG_VAI_TRÒ!$B$5*(100+KHUNG_VAI_TRÒ!$D$5)/100*KHUNG_VAI_TRÒ!$C$5))</f>
        <v>0.923245714285714</v>
      </c>
      <c r="O10" s="22" t="str">
        <f aca="false">IF(OR(D10="",E10="",F10="",G10="",C10=""),"",IFERROR(IF(AND(D10/KHUNG_VAI_TRÒ!$B$5&gt;=INDEX(KHUNG_VAI_TRÒ!$B$9:$B$15,MATCH($C10,KHUNG_VAI_TRÒ!$A$9:$A$15,0))-0.0001,D10/KHUNG_VAI_TRÒ!$B$5&lt;=INDEX(KHUNG_VAI_TRÒ!$C$9:$C$15,MATCH($C10,KHUNG_VAI_TRÒ!$A$9:$A$15,0))+0.0001,E10/KHUNG_VAI_TRÒ!$C$5&gt;=INDEX(KHUNG_VAI_TRÒ!$D$9:$D$15,MATCH($C10,KHUNG_VAI_TRÒ!$A$9:$A$15,0))-0.0001,E10/KHUNG_VAI_TRÒ!$C$5&lt;=INDEX(KHUNG_VAI_TRÒ!$E$9:$E$15,MATCH($C10,KHUNG_VAI_TRÒ!$A$9:$A$15,0))+0.0001,F10/KHUNG_VAI_TRÒ!$D$5&gt;=INDEX(KHUNG_VAI_TRÒ!$F$9:$F$15,MATCH($C10,KHUNG_VAI_TRÒ!$A$9:$A$15,0))-0.0001,F10/KHUNG_VAI_TRÒ!$D$5&lt;=INDEX(KHUNG_VAI_TRÒ!$G$9:$G$15,MATCH($C10,KHUNG_VAI_TRÒ!$A$9:$A$15,0))+0.0001,G10/KHUNG_VAI_TRÒ!$E$5&gt;=INDEX(KHUNG_VAI_TRÒ!$H$9:$H$15,MATCH($C10,KHUNG_VAI_TRÒ!$A$9:$A$15,0))-0.0001,G10/KHUNG_VAI_TRÒ!$E$5&lt;=INDEX(KHUNG_VAI_TRÒ!$I$9:$I$15,MATCH($C10,KHUNG_VAI_TRÒ!$A$9:$A$15,0))+0.0001),"OK","Ngoài khung"),"Vai trò?"))</f>
        <v>OK</v>
      </c>
    </row>
    <row r="11" customFormat="false" ht="15" hidden="false" customHeight="true" outlineLevel="0" collapsed="false">
      <c r="A11" s="22" t="str">
        <f aca="false">NHÂN_VẬT!$A$11</f>
        <v>NV06</v>
      </c>
      <c r="B11" s="22" t="str">
        <f aca="false">IF(NHÂN_VẬT!$B$11="","",NHÂN_VẬT!$B$11)</f>
        <v>HCM-SALE DUYÊN</v>
      </c>
      <c r="C11" s="22" t="str">
        <f aca="false">IF(NHÂN_VẬT!$D$11="","",NHÂN_VẬT!$D$11)</f>
        <v>Hỗ trợ</v>
      </c>
      <c r="D11" s="18" t="n">
        <v>1000</v>
      </c>
      <c r="E11" s="18" t="n">
        <v>70</v>
      </c>
      <c r="F11" s="18" t="n">
        <v>40</v>
      </c>
      <c r="G11" s="23" t="n">
        <v>109</v>
      </c>
      <c r="H11" s="23" t="n">
        <v>18</v>
      </c>
      <c r="I11" s="24" t="n">
        <v>0.04</v>
      </c>
      <c r="J11" s="24" t="n">
        <v>0.03</v>
      </c>
      <c r="K11" s="24" t="n">
        <v>0.03</v>
      </c>
      <c r="L11" s="25" t="n">
        <v>1.5</v>
      </c>
      <c r="M11" s="24" t="n">
        <v>0.03</v>
      </c>
      <c r="N11" s="26" t="n">
        <f aca="false">IF(OR(D11="",E11="",F11=""),"",D11*(100+F11)/100*E11/(KHUNG_VAI_TRÒ!$B$5*(100+KHUNG_VAI_TRÒ!$D$5)/100*KHUNG_VAI_TRÒ!$C$5))</f>
        <v>0.7</v>
      </c>
      <c r="O11" s="22" t="str">
        <f aca="false">IF(OR(D11="",E11="",F11="",G11="",C11=""),"",IFERROR(IF(AND(D11/KHUNG_VAI_TRÒ!$B$5&gt;=INDEX(KHUNG_VAI_TRÒ!$B$9:$B$15,MATCH($C11,KHUNG_VAI_TRÒ!$A$9:$A$15,0))-0.0001,D11/KHUNG_VAI_TRÒ!$B$5&lt;=INDEX(KHUNG_VAI_TRÒ!$C$9:$C$15,MATCH($C11,KHUNG_VAI_TRÒ!$A$9:$A$15,0))+0.0001,E11/KHUNG_VAI_TRÒ!$C$5&gt;=INDEX(KHUNG_VAI_TRÒ!$D$9:$D$15,MATCH($C11,KHUNG_VAI_TRÒ!$A$9:$A$15,0))-0.0001,E11/KHUNG_VAI_TRÒ!$C$5&lt;=INDEX(KHUNG_VAI_TRÒ!$E$9:$E$15,MATCH($C11,KHUNG_VAI_TRÒ!$A$9:$A$15,0))+0.0001,F11/KHUNG_VAI_TRÒ!$D$5&gt;=INDEX(KHUNG_VAI_TRÒ!$F$9:$F$15,MATCH($C11,KHUNG_VAI_TRÒ!$A$9:$A$15,0))-0.0001,F11/KHUNG_VAI_TRÒ!$D$5&lt;=INDEX(KHUNG_VAI_TRÒ!$G$9:$G$15,MATCH($C11,KHUNG_VAI_TRÒ!$A$9:$A$15,0))+0.0001,G11/KHUNG_VAI_TRÒ!$E$5&gt;=INDEX(KHUNG_VAI_TRÒ!$H$9:$H$15,MATCH($C11,KHUNG_VAI_TRÒ!$A$9:$A$15,0))-0.0001,G11/KHUNG_VAI_TRÒ!$E$5&lt;=INDEX(KHUNG_VAI_TRÒ!$I$9:$I$15,MATCH($C11,KHUNG_VAI_TRÒ!$A$9:$A$15,0))+0.0001),"OK","Ngoài khung"),"Vai trò?"))</f>
        <v>OK</v>
      </c>
    </row>
    <row r="12" customFormat="false" ht="15" hidden="false" customHeight="true" outlineLevel="0" collapsed="false">
      <c r="A12" s="22" t="str">
        <f aca="false">NHÂN_VẬT!$A$12</f>
        <v>NV07</v>
      </c>
      <c r="B12" s="22" t="str">
        <f aca="false">IF(NHÂN_VẬT!$B$12="","",NHÂN_VẬT!$B$12)</f>
        <v>HCM-KẾ TOÁN THU</v>
      </c>
      <c r="C12" s="22" t="str">
        <f aca="false">IF(NHÂN_VẬT!$D$12="","",NHÂN_VẬT!$D$12)</f>
        <v>Hỗ trợ</v>
      </c>
      <c r="D12" s="18" t="n">
        <v>950</v>
      </c>
      <c r="E12" s="18" t="n">
        <v>75</v>
      </c>
      <c r="F12" s="18" t="n">
        <v>44</v>
      </c>
      <c r="G12" s="23" t="n">
        <v>113</v>
      </c>
      <c r="H12" s="23" t="n">
        <v>16</v>
      </c>
      <c r="I12" s="24" t="n">
        <v>0.04</v>
      </c>
      <c r="J12" s="24" t="n">
        <v>0.03</v>
      </c>
      <c r="K12" s="24" t="n">
        <v>0.03</v>
      </c>
      <c r="L12" s="25" t="n">
        <v>1.5</v>
      </c>
      <c r="M12" s="24" t="n">
        <v>0.03</v>
      </c>
      <c r="N12" s="26" t="n">
        <f aca="false">IF(OR(D12="",E12="",F12=""),"",D12*(100+F12)/100*E12/(KHUNG_VAI_TRÒ!$B$5*(100+KHUNG_VAI_TRÒ!$D$5)/100*KHUNG_VAI_TRÒ!$C$5))</f>
        <v>0.732857142857143</v>
      </c>
      <c r="O12" s="22" t="str">
        <f aca="false">IF(OR(D12="",E12="",F12="",G12="",C12=""),"",IFERROR(IF(AND(D12/KHUNG_VAI_TRÒ!$B$5&gt;=INDEX(KHUNG_VAI_TRÒ!$B$9:$B$15,MATCH($C12,KHUNG_VAI_TRÒ!$A$9:$A$15,0))-0.0001,D12/KHUNG_VAI_TRÒ!$B$5&lt;=INDEX(KHUNG_VAI_TRÒ!$C$9:$C$15,MATCH($C12,KHUNG_VAI_TRÒ!$A$9:$A$15,0))+0.0001,E12/KHUNG_VAI_TRÒ!$C$5&gt;=INDEX(KHUNG_VAI_TRÒ!$D$9:$D$15,MATCH($C12,KHUNG_VAI_TRÒ!$A$9:$A$15,0))-0.0001,E12/KHUNG_VAI_TRÒ!$C$5&lt;=INDEX(KHUNG_VAI_TRÒ!$E$9:$E$15,MATCH($C12,KHUNG_VAI_TRÒ!$A$9:$A$15,0))+0.0001,F12/KHUNG_VAI_TRÒ!$D$5&gt;=INDEX(KHUNG_VAI_TRÒ!$F$9:$F$15,MATCH($C12,KHUNG_VAI_TRÒ!$A$9:$A$15,0))-0.0001,F12/KHUNG_VAI_TRÒ!$D$5&lt;=INDEX(KHUNG_VAI_TRÒ!$G$9:$G$15,MATCH($C12,KHUNG_VAI_TRÒ!$A$9:$A$15,0))+0.0001,G12/KHUNG_VAI_TRÒ!$E$5&gt;=INDEX(KHUNG_VAI_TRÒ!$H$9:$H$15,MATCH($C12,KHUNG_VAI_TRÒ!$A$9:$A$15,0))-0.0001,G12/KHUNG_VAI_TRÒ!$E$5&lt;=INDEX(KHUNG_VAI_TRÒ!$I$9:$I$15,MATCH($C12,KHUNG_VAI_TRÒ!$A$9:$A$15,0))+0.0001),"OK","Ngoài khung"),"Vai trò?"))</f>
        <v>OK</v>
      </c>
    </row>
    <row r="13" customFormat="false" ht="15" hidden="false" customHeight="true" outlineLevel="0" collapsed="false">
      <c r="A13" s="22" t="str">
        <f aca="false">NHÂN_VẬT!$A$13</f>
        <v>NV08</v>
      </c>
      <c r="B13" s="22" t="str">
        <f aca="false">IF(NHÂN_VẬT!$B$13="","",NHÂN_VẬT!$B$13)</f>
        <v>HCM-SALE NHÂN</v>
      </c>
      <c r="C13" s="22" t="str">
        <f aca="false">IF(NHÂN_VẬT!$D$13="","",NHÂN_VẬT!$D$13)</f>
        <v>Sát thủ</v>
      </c>
      <c r="D13" s="18" t="n">
        <v>760</v>
      </c>
      <c r="E13" s="18" t="n">
        <v>130</v>
      </c>
      <c r="F13" s="18" t="n">
        <v>28</v>
      </c>
      <c r="G13" s="23" t="n">
        <v>121</v>
      </c>
      <c r="H13" s="23" t="n">
        <v>8</v>
      </c>
      <c r="I13" s="24" t="n">
        <v>0.06</v>
      </c>
      <c r="J13" s="24" t="n">
        <v>0.06</v>
      </c>
      <c r="K13" s="24" t="n">
        <v>0.08</v>
      </c>
      <c r="L13" s="25" t="n">
        <v>1.65</v>
      </c>
      <c r="M13" s="24" t="n">
        <v>0</v>
      </c>
      <c r="N13" s="26" t="n">
        <f aca="false">IF(OR(D13="",E13="",F13=""),"",D13*(100+F13)/100*E13/(KHUNG_VAI_TRÒ!$B$5*(100+KHUNG_VAI_TRÒ!$D$5)/100*KHUNG_VAI_TRÒ!$C$5))</f>
        <v>0.903314285714286</v>
      </c>
      <c r="O13" s="22" t="str">
        <f aca="false">IF(OR(D13="",E13="",F13="",G13="",C13=""),"",IFERROR(IF(AND(D13/KHUNG_VAI_TRÒ!$B$5&gt;=INDEX(KHUNG_VAI_TRÒ!$B$9:$B$15,MATCH($C13,KHUNG_VAI_TRÒ!$A$9:$A$15,0))-0.0001,D13/KHUNG_VAI_TRÒ!$B$5&lt;=INDEX(KHUNG_VAI_TRÒ!$C$9:$C$15,MATCH($C13,KHUNG_VAI_TRÒ!$A$9:$A$15,0))+0.0001,E13/KHUNG_VAI_TRÒ!$C$5&gt;=INDEX(KHUNG_VAI_TRÒ!$D$9:$D$15,MATCH($C13,KHUNG_VAI_TRÒ!$A$9:$A$15,0))-0.0001,E13/KHUNG_VAI_TRÒ!$C$5&lt;=INDEX(KHUNG_VAI_TRÒ!$E$9:$E$15,MATCH($C13,KHUNG_VAI_TRÒ!$A$9:$A$15,0))+0.0001,F13/KHUNG_VAI_TRÒ!$D$5&gt;=INDEX(KHUNG_VAI_TRÒ!$F$9:$F$15,MATCH($C13,KHUNG_VAI_TRÒ!$A$9:$A$15,0))-0.0001,F13/KHUNG_VAI_TRÒ!$D$5&lt;=INDEX(KHUNG_VAI_TRÒ!$G$9:$G$15,MATCH($C13,KHUNG_VAI_TRÒ!$A$9:$A$15,0))+0.0001,G13/KHUNG_VAI_TRÒ!$E$5&gt;=INDEX(KHUNG_VAI_TRÒ!$H$9:$H$15,MATCH($C13,KHUNG_VAI_TRÒ!$A$9:$A$15,0))-0.0001,G13/KHUNG_VAI_TRÒ!$E$5&lt;=INDEX(KHUNG_VAI_TRÒ!$I$9:$I$15,MATCH($C13,KHUNG_VAI_TRÒ!$A$9:$A$15,0))+0.0001),"OK","Ngoài khung"),"Vai trò?"))</f>
        <v>OK</v>
      </c>
    </row>
    <row r="14" customFormat="false" ht="25.5" hidden="false" customHeight="true" outlineLevel="0" collapsed="false">
      <c r="A14" s="22" t="str">
        <f aca="false">NHÂN_VẬT!$A$14</f>
        <v>NV09</v>
      </c>
      <c r="B14" s="22" t="str">
        <f aca="false">IF(NHÂN_VẬT!$B$14="","",NHÂN_VẬT!$B$14)</f>
        <v>HCM-PHỤ KHO ANH LÂM</v>
      </c>
      <c r="C14" s="22" t="str">
        <f aca="false">IF(NHÂN_VẬT!$D$14="","",NHÂN_VẬT!$D$14)</f>
        <v>TANK-VẬT LÝ</v>
      </c>
      <c r="D14" s="18" t="n">
        <v>1200</v>
      </c>
      <c r="E14" s="18" t="n">
        <v>90</v>
      </c>
      <c r="F14" s="18" t="n">
        <v>50</v>
      </c>
      <c r="G14" s="23" t="n">
        <v>85</v>
      </c>
      <c r="H14" s="23" t="n">
        <v>20</v>
      </c>
      <c r="I14" s="24" t="n">
        <v>0.03</v>
      </c>
      <c r="J14" s="24" t="n">
        <v>0.03</v>
      </c>
      <c r="K14" s="24" t="n">
        <v>0.04</v>
      </c>
      <c r="L14" s="25" t="n">
        <v>1.5</v>
      </c>
      <c r="M14" s="24" t="n">
        <v>0.04</v>
      </c>
      <c r="N14" s="26" t="n">
        <f aca="false">IF(OR(D14="",E14="",F14=""),"",D14*(100+F14)/100*E14/(KHUNG_VAI_TRÒ!$B$5*(100+KHUNG_VAI_TRÒ!$D$5)/100*KHUNG_VAI_TRÒ!$C$5))</f>
        <v>1.15714285714286</v>
      </c>
      <c r="O14" s="22" t="str">
        <f aca="false">IF(OR(D14="",E14="",F14="",G14="",C14=""),"",IFERROR(IF(AND(D14/KHUNG_VAI_TRÒ!$B$5&gt;=INDEX(KHUNG_VAI_TRÒ!$B$9:$B$15,MATCH($C14,KHUNG_VAI_TRÒ!$A$9:$A$15,0))-0.0001,D14/KHUNG_VAI_TRÒ!$B$5&lt;=INDEX(KHUNG_VAI_TRÒ!$C$9:$C$15,MATCH($C14,KHUNG_VAI_TRÒ!$A$9:$A$15,0))+0.0001,E14/KHUNG_VAI_TRÒ!$C$5&gt;=INDEX(KHUNG_VAI_TRÒ!$D$9:$D$15,MATCH($C14,KHUNG_VAI_TRÒ!$A$9:$A$15,0))-0.0001,E14/KHUNG_VAI_TRÒ!$C$5&lt;=INDEX(KHUNG_VAI_TRÒ!$E$9:$E$15,MATCH($C14,KHUNG_VAI_TRÒ!$A$9:$A$15,0))+0.0001,F14/KHUNG_VAI_TRÒ!$D$5&gt;=INDEX(KHUNG_VAI_TRÒ!$F$9:$F$15,MATCH($C14,KHUNG_VAI_TRÒ!$A$9:$A$15,0))-0.0001,F14/KHUNG_VAI_TRÒ!$D$5&lt;=INDEX(KHUNG_VAI_TRÒ!$G$9:$G$15,MATCH($C14,KHUNG_VAI_TRÒ!$A$9:$A$15,0))+0.0001,G14/KHUNG_VAI_TRÒ!$E$5&gt;=INDEX(KHUNG_VAI_TRÒ!$H$9:$H$15,MATCH($C14,KHUNG_VAI_TRÒ!$A$9:$A$15,0))-0.0001,G14/KHUNG_VAI_TRÒ!$E$5&lt;=INDEX(KHUNG_VAI_TRÒ!$I$9:$I$15,MATCH($C14,KHUNG_VAI_TRÒ!$A$9:$A$15,0))+0.0001),"OK","Ngoài khung"),"Vai trò?"))</f>
        <v>OK</v>
      </c>
    </row>
    <row r="15" customFormat="false" ht="15" hidden="false" customHeight="true" outlineLevel="0" collapsed="false">
      <c r="A15" s="22" t="str">
        <f aca="false">NHÂN_VẬT!$A$15</f>
        <v>NV11</v>
      </c>
      <c r="B15" s="22" t="str">
        <f aca="false">IF(NHÂN_VẬT!$B$15="","",NHÂN_VẬT!$B$15)</f>
        <v>HCM- BÍCH THÍCH CHAN</v>
      </c>
      <c r="C15" s="22" t="str">
        <f aca="false">IF(NHÂN_VẬT!$D$15="","",NHÂN_VẬT!$D$15)</f>
        <v>Phép-BUFF</v>
      </c>
      <c r="D15" s="18" t="n">
        <v>900</v>
      </c>
      <c r="E15" s="18" t="n">
        <v>85</v>
      </c>
      <c r="F15" s="18" t="n">
        <v>38</v>
      </c>
      <c r="G15" s="23" t="n">
        <v>117</v>
      </c>
      <c r="H15" s="23" t="n">
        <v>14</v>
      </c>
      <c r="I15" s="24" t="n">
        <v>0.04</v>
      </c>
      <c r="J15" s="24" t="n">
        <v>0.04</v>
      </c>
      <c r="K15" s="24" t="n">
        <v>0.04</v>
      </c>
      <c r="L15" s="25" t="n">
        <v>1.5</v>
      </c>
      <c r="M15" s="24" t="n">
        <v>0.02</v>
      </c>
      <c r="N15" s="26" t="n">
        <f aca="false">IF(OR(D15="",E15="",F15=""),"",D15*(100+F15)/100*E15/(KHUNG_VAI_TRÒ!$B$5*(100+KHUNG_VAI_TRÒ!$D$5)/100*KHUNG_VAI_TRÒ!$C$5))</f>
        <v>0.754071428571429</v>
      </c>
      <c r="O15" s="22" t="str">
        <f aca="false">IF(OR(D15="",E15="",F15="",G15="",C15=""),"",IFERROR(IF(AND(D15/KHUNG_VAI_TRÒ!$B$5&gt;=INDEX(KHUNG_VAI_TRÒ!$B$9:$B$15,MATCH($C15,KHUNG_VAI_TRÒ!$A$9:$A$15,0))-0.0001,D15/KHUNG_VAI_TRÒ!$B$5&lt;=INDEX(KHUNG_VAI_TRÒ!$C$9:$C$15,MATCH($C15,KHUNG_VAI_TRÒ!$A$9:$A$15,0))+0.0001,E15/KHUNG_VAI_TRÒ!$C$5&gt;=INDEX(KHUNG_VAI_TRÒ!$D$9:$D$15,MATCH($C15,KHUNG_VAI_TRÒ!$A$9:$A$15,0))-0.0001,E15/KHUNG_VAI_TRÒ!$C$5&lt;=INDEX(KHUNG_VAI_TRÒ!$E$9:$E$15,MATCH($C15,KHUNG_VAI_TRÒ!$A$9:$A$15,0))+0.0001,F15/KHUNG_VAI_TRÒ!$D$5&gt;=INDEX(KHUNG_VAI_TRÒ!$F$9:$F$15,MATCH($C15,KHUNG_VAI_TRÒ!$A$9:$A$15,0))-0.0001,F15/KHUNG_VAI_TRÒ!$D$5&lt;=INDEX(KHUNG_VAI_TRÒ!$G$9:$G$15,MATCH($C15,KHUNG_VAI_TRÒ!$A$9:$A$15,0))+0.0001,G15/KHUNG_VAI_TRÒ!$E$5&gt;=INDEX(KHUNG_VAI_TRÒ!$H$9:$H$15,MATCH($C15,KHUNG_VAI_TRÒ!$A$9:$A$15,0))-0.0001,G15/KHUNG_VAI_TRÒ!$E$5&lt;=INDEX(KHUNG_VAI_TRÒ!$I$9:$I$15,MATCH($C15,KHUNG_VAI_TRÒ!$A$9:$A$15,0))+0.0001),"OK","Ngoài khung"),"Vai trò?"))</f>
        <v>OK</v>
      </c>
    </row>
    <row r="16" customFormat="false" ht="15" hidden="false" customHeight="true" outlineLevel="0" collapsed="false">
      <c r="A16" s="22" t="str">
        <f aca="false">NHÂN_VẬT!$A$16</f>
        <v>NV12</v>
      </c>
      <c r="B16" s="22" t="str">
        <f aca="false">IF(NHÂN_VẬT!$B$16="","",NHÂN_VẬT!$B$16)</f>
        <v/>
      </c>
      <c r="C16" s="22" t="str">
        <f aca="false">IF(NHÂN_VẬT!$D$16="","",NHÂN_VẬT!$D$16)</f>
        <v/>
      </c>
      <c r="D16" s="18"/>
      <c r="E16" s="18"/>
      <c r="F16" s="18"/>
      <c r="G16" s="23"/>
      <c r="H16" s="23"/>
      <c r="I16" s="24"/>
      <c r="J16" s="24"/>
      <c r="K16" s="24"/>
      <c r="L16" s="25"/>
      <c r="M16" s="24"/>
      <c r="N16" s="26" t="str">
        <f aca="false">IF(OR(D16="",E16="",F16=""),"",D16*(100+F16)/100*E16/(KHUNG_VAI_TRÒ!$B$5*(100+KHUNG_VAI_TRÒ!$D$5)/100*KHUNG_VAI_TRÒ!$C$5))</f>
        <v/>
      </c>
      <c r="O16" s="22" t="str">
        <f aca="false">IF(OR(D16="",E16="",F16="",G16="",C16=""),"",IFERROR(IF(AND(D16/KHUNG_VAI_TRÒ!$B$5&gt;=INDEX(KHUNG_VAI_TRÒ!$B$9:$B$15,MATCH($C16,KHUNG_VAI_TRÒ!$A$9:$A$15,0))-0.0001,D16/KHUNG_VAI_TRÒ!$B$5&lt;=INDEX(KHUNG_VAI_TRÒ!$C$9:$C$15,MATCH($C16,KHUNG_VAI_TRÒ!$A$9:$A$15,0))+0.0001,E16/KHUNG_VAI_TRÒ!$C$5&gt;=INDEX(KHUNG_VAI_TRÒ!$D$9:$D$15,MATCH($C16,KHUNG_VAI_TRÒ!$A$9:$A$15,0))-0.0001,E16/KHUNG_VAI_TRÒ!$C$5&lt;=INDEX(KHUNG_VAI_TRÒ!$E$9:$E$15,MATCH($C16,KHUNG_VAI_TRÒ!$A$9:$A$15,0))+0.0001,F16/KHUNG_VAI_TRÒ!$D$5&gt;=INDEX(KHUNG_VAI_TRÒ!$F$9:$F$15,MATCH($C16,KHUNG_VAI_TRÒ!$A$9:$A$15,0))-0.0001,F16/KHUNG_VAI_TRÒ!$D$5&lt;=INDEX(KHUNG_VAI_TRÒ!$G$9:$G$15,MATCH($C16,KHUNG_VAI_TRÒ!$A$9:$A$15,0))+0.0001,G16/KHUNG_VAI_TRÒ!$E$5&gt;=INDEX(KHUNG_VAI_TRÒ!$H$9:$H$15,MATCH($C16,KHUNG_VAI_TRÒ!$A$9:$A$15,0))-0.0001,G16/KHUNG_VAI_TRÒ!$E$5&lt;=INDEX(KHUNG_VAI_TRÒ!$I$9:$I$15,MATCH($C16,KHUNG_VAI_TRÒ!$A$9:$A$15,0))+0.0001),"OK","Ngoài khung"),"Vai trò?"))</f>
        <v/>
      </c>
    </row>
    <row r="17" customFormat="false" ht="15" hidden="false" customHeight="true" outlineLevel="0" collapsed="false">
      <c r="A17" s="22" t="str">
        <f aca="false">NHÂN_VẬT!$A$17</f>
        <v>NV13</v>
      </c>
      <c r="B17" s="22" t="str">
        <f aca="false">IF(NHÂN_VẬT!$B$17="","",NHÂN_VẬT!$B$17)</f>
        <v/>
      </c>
      <c r="C17" s="22" t="str">
        <f aca="false">IF(NHÂN_VẬT!$D$17="","",NHÂN_VẬT!$D$17)</f>
        <v/>
      </c>
      <c r="D17" s="18"/>
      <c r="E17" s="18"/>
      <c r="F17" s="18"/>
      <c r="G17" s="23"/>
      <c r="H17" s="23"/>
      <c r="I17" s="24"/>
      <c r="J17" s="24"/>
      <c r="K17" s="24"/>
      <c r="L17" s="25"/>
      <c r="M17" s="24"/>
      <c r="N17" s="26" t="str">
        <f aca="false">IF(OR(D17="",E17="",F17=""),"",D17*(100+F17)/100*E17/(KHUNG_VAI_TRÒ!$B$5*(100+KHUNG_VAI_TRÒ!$D$5)/100*KHUNG_VAI_TRÒ!$C$5))</f>
        <v/>
      </c>
      <c r="O17" s="22" t="str">
        <f aca="false">IF(OR(D17="",E17="",F17="",G17="",C17=""),"",IFERROR(IF(AND(D17/KHUNG_VAI_TRÒ!$B$5&gt;=INDEX(KHUNG_VAI_TRÒ!$B$9:$B$15,MATCH($C17,KHUNG_VAI_TRÒ!$A$9:$A$15,0))-0.0001,D17/KHUNG_VAI_TRÒ!$B$5&lt;=INDEX(KHUNG_VAI_TRÒ!$C$9:$C$15,MATCH($C17,KHUNG_VAI_TRÒ!$A$9:$A$15,0))+0.0001,E17/KHUNG_VAI_TRÒ!$C$5&gt;=INDEX(KHUNG_VAI_TRÒ!$D$9:$D$15,MATCH($C17,KHUNG_VAI_TRÒ!$A$9:$A$15,0))-0.0001,E17/KHUNG_VAI_TRÒ!$C$5&lt;=INDEX(KHUNG_VAI_TRÒ!$E$9:$E$15,MATCH($C17,KHUNG_VAI_TRÒ!$A$9:$A$15,0))+0.0001,F17/KHUNG_VAI_TRÒ!$D$5&gt;=INDEX(KHUNG_VAI_TRÒ!$F$9:$F$15,MATCH($C17,KHUNG_VAI_TRÒ!$A$9:$A$15,0))-0.0001,F17/KHUNG_VAI_TRÒ!$D$5&lt;=INDEX(KHUNG_VAI_TRÒ!$G$9:$G$15,MATCH($C17,KHUNG_VAI_TRÒ!$A$9:$A$15,0))+0.0001,G17/KHUNG_VAI_TRÒ!$E$5&gt;=INDEX(KHUNG_VAI_TRÒ!$H$9:$H$15,MATCH($C17,KHUNG_VAI_TRÒ!$A$9:$A$15,0))-0.0001,G17/KHUNG_VAI_TRÒ!$E$5&lt;=INDEX(KHUNG_VAI_TRÒ!$I$9:$I$15,MATCH($C17,KHUNG_VAI_TRÒ!$A$9:$A$15,0))+0.0001),"OK","Ngoài khung"),"Vai trò?"))</f>
        <v/>
      </c>
    </row>
    <row r="18" customFormat="false" ht="15" hidden="false" customHeight="true" outlineLevel="0" collapsed="false">
      <c r="A18" s="22" t="str">
        <f aca="false">NHÂN_VẬT!$A$18</f>
        <v>NV14</v>
      </c>
      <c r="B18" s="22" t="str">
        <f aca="false">IF(NHÂN_VẬT!$B$18="","",NHÂN_VẬT!$B$18)</f>
        <v/>
      </c>
      <c r="C18" s="22" t="str">
        <f aca="false">IF(NHÂN_VẬT!$D$18="","",NHÂN_VẬT!$D$18)</f>
        <v/>
      </c>
      <c r="D18" s="18"/>
      <c r="E18" s="18"/>
      <c r="F18" s="18"/>
      <c r="G18" s="23"/>
      <c r="H18" s="23"/>
      <c r="I18" s="24"/>
      <c r="J18" s="24"/>
      <c r="K18" s="24"/>
      <c r="L18" s="25"/>
      <c r="M18" s="24"/>
      <c r="N18" s="26" t="str">
        <f aca="false">IF(OR(D18="",E18="",F18=""),"",D18*(100+F18)/100*E18/(KHUNG_VAI_TRÒ!$B$5*(100+KHUNG_VAI_TRÒ!$D$5)/100*KHUNG_VAI_TRÒ!$C$5))</f>
        <v/>
      </c>
      <c r="O18" s="22" t="str">
        <f aca="false">IF(OR(D18="",E18="",F18="",G18="",C18=""),"",IFERROR(IF(AND(D18/KHUNG_VAI_TRÒ!$B$5&gt;=INDEX(KHUNG_VAI_TRÒ!$B$9:$B$15,MATCH($C18,KHUNG_VAI_TRÒ!$A$9:$A$15,0))-0.0001,D18/KHUNG_VAI_TRÒ!$B$5&lt;=INDEX(KHUNG_VAI_TRÒ!$C$9:$C$15,MATCH($C18,KHUNG_VAI_TRÒ!$A$9:$A$15,0))+0.0001,E18/KHUNG_VAI_TRÒ!$C$5&gt;=INDEX(KHUNG_VAI_TRÒ!$D$9:$D$15,MATCH($C18,KHUNG_VAI_TRÒ!$A$9:$A$15,0))-0.0001,E18/KHUNG_VAI_TRÒ!$C$5&lt;=INDEX(KHUNG_VAI_TRÒ!$E$9:$E$15,MATCH($C18,KHUNG_VAI_TRÒ!$A$9:$A$15,0))+0.0001,F18/KHUNG_VAI_TRÒ!$D$5&gt;=INDEX(KHUNG_VAI_TRÒ!$F$9:$F$15,MATCH($C18,KHUNG_VAI_TRÒ!$A$9:$A$15,0))-0.0001,F18/KHUNG_VAI_TRÒ!$D$5&lt;=INDEX(KHUNG_VAI_TRÒ!$G$9:$G$15,MATCH($C18,KHUNG_VAI_TRÒ!$A$9:$A$15,0))+0.0001,G18/KHUNG_VAI_TRÒ!$E$5&gt;=INDEX(KHUNG_VAI_TRÒ!$H$9:$H$15,MATCH($C18,KHUNG_VAI_TRÒ!$A$9:$A$15,0))-0.0001,G18/KHUNG_VAI_TRÒ!$E$5&lt;=INDEX(KHUNG_VAI_TRÒ!$I$9:$I$15,MATCH($C18,KHUNG_VAI_TRÒ!$A$9:$A$15,0))+0.0001),"OK","Ngoài khung"),"Vai trò?"))</f>
        <v/>
      </c>
    </row>
    <row r="19" customFormat="false" ht="15" hidden="false" customHeight="true" outlineLevel="0" collapsed="false">
      <c r="A19" s="22" t="str">
        <f aca="false">NHÂN_VẬT!$A$19</f>
        <v>NV15</v>
      </c>
      <c r="B19" s="22" t="str">
        <f aca="false">IF(NHÂN_VẬT!$B$19="","",NHÂN_VẬT!$B$19)</f>
        <v/>
      </c>
      <c r="C19" s="22" t="str">
        <f aca="false">IF(NHÂN_VẬT!$D$19="","",NHÂN_VẬT!$D$19)</f>
        <v/>
      </c>
      <c r="D19" s="18"/>
      <c r="E19" s="18"/>
      <c r="F19" s="18"/>
      <c r="G19" s="23"/>
      <c r="H19" s="23"/>
      <c r="I19" s="24"/>
      <c r="J19" s="24"/>
      <c r="K19" s="24"/>
      <c r="L19" s="25"/>
      <c r="M19" s="24"/>
      <c r="N19" s="26" t="str">
        <f aca="false">IF(OR(D19="",E19="",F19=""),"",D19*(100+F19)/100*E19/(KHUNG_VAI_TRÒ!$B$5*(100+KHUNG_VAI_TRÒ!$D$5)/100*KHUNG_VAI_TRÒ!$C$5))</f>
        <v/>
      </c>
      <c r="O19" s="22" t="str">
        <f aca="false">IF(OR(D19="",E19="",F19="",G19="",C19=""),"",IFERROR(IF(AND(D19/KHUNG_VAI_TRÒ!$B$5&gt;=INDEX(KHUNG_VAI_TRÒ!$B$9:$B$15,MATCH($C19,KHUNG_VAI_TRÒ!$A$9:$A$15,0))-0.0001,D19/KHUNG_VAI_TRÒ!$B$5&lt;=INDEX(KHUNG_VAI_TRÒ!$C$9:$C$15,MATCH($C19,KHUNG_VAI_TRÒ!$A$9:$A$15,0))+0.0001,E19/KHUNG_VAI_TRÒ!$C$5&gt;=INDEX(KHUNG_VAI_TRÒ!$D$9:$D$15,MATCH($C19,KHUNG_VAI_TRÒ!$A$9:$A$15,0))-0.0001,E19/KHUNG_VAI_TRÒ!$C$5&lt;=INDEX(KHUNG_VAI_TRÒ!$E$9:$E$15,MATCH($C19,KHUNG_VAI_TRÒ!$A$9:$A$15,0))+0.0001,F19/KHUNG_VAI_TRÒ!$D$5&gt;=INDEX(KHUNG_VAI_TRÒ!$F$9:$F$15,MATCH($C19,KHUNG_VAI_TRÒ!$A$9:$A$15,0))-0.0001,F19/KHUNG_VAI_TRÒ!$D$5&lt;=INDEX(KHUNG_VAI_TRÒ!$G$9:$G$15,MATCH($C19,KHUNG_VAI_TRÒ!$A$9:$A$15,0))+0.0001,G19/KHUNG_VAI_TRÒ!$E$5&gt;=INDEX(KHUNG_VAI_TRÒ!$H$9:$H$15,MATCH($C19,KHUNG_VAI_TRÒ!$A$9:$A$15,0))-0.0001,G19/KHUNG_VAI_TRÒ!$E$5&lt;=INDEX(KHUNG_VAI_TRÒ!$I$9:$I$15,MATCH($C19,KHUNG_VAI_TRÒ!$A$9:$A$15,0))+0.0001),"OK","Ngoài khung"),"Vai trò?"))</f>
        <v/>
      </c>
    </row>
    <row r="20" customFormat="false" ht="15" hidden="false" customHeight="true" outlineLevel="0" collapsed="false">
      <c r="A20" s="22" t="str">
        <f aca="false">NHÂN_VẬT!$A$20</f>
        <v>NV16</v>
      </c>
      <c r="B20" s="22" t="str">
        <f aca="false">IF(NHÂN_VẬT!$B$20="","",NHÂN_VẬT!$B$20)</f>
        <v/>
      </c>
      <c r="C20" s="22" t="str">
        <f aca="false">IF(NHÂN_VẬT!$D$20="","",NHÂN_VẬT!$D$20)</f>
        <v/>
      </c>
      <c r="D20" s="18"/>
      <c r="E20" s="18"/>
      <c r="F20" s="18"/>
      <c r="G20" s="23"/>
      <c r="H20" s="23"/>
      <c r="I20" s="24"/>
      <c r="J20" s="24"/>
      <c r="K20" s="24"/>
      <c r="L20" s="25"/>
      <c r="M20" s="24"/>
      <c r="N20" s="26" t="str">
        <f aca="false">IF(OR(D20="",E20="",F20=""),"",D20*(100+F20)/100*E20/(KHUNG_VAI_TRÒ!$B$5*(100+KHUNG_VAI_TRÒ!$D$5)/100*KHUNG_VAI_TRÒ!$C$5))</f>
        <v/>
      </c>
      <c r="O20" s="22" t="str">
        <f aca="false">IF(OR(D20="",E20="",F20="",G20="",C20=""),"",IFERROR(IF(AND(D20/KHUNG_VAI_TRÒ!$B$5&gt;=INDEX(KHUNG_VAI_TRÒ!$B$9:$B$15,MATCH($C20,KHUNG_VAI_TRÒ!$A$9:$A$15,0))-0.0001,D20/KHUNG_VAI_TRÒ!$B$5&lt;=INDEX(KHUNG_VAI_TRÒ!$C$9:$C$15,MATCH($C20,KHUNG_VAI_TRÒ!$A$9:$A$15,0))+0.0001,E20/KHUNG_VAI_TRÒ!$C$5&gt;=INDEX(KHUNG_VAI_TRÒ!$D$9:$D$15,MATCH($C20,KHUNG_VAI_TRÒ!$A$9:$A$15,0))-0.0001,E20/KHUNG_VAI_TRÒ!$C$5&lt;=INDEX(KHUNG_VAI_TRÒ!$E$9:$E$15,MATCH($C20,KHUNG_VAI_TRÒ!$A$9:$A$15,0))+0.0001,F20/KHUNG_VAI_TRÒ!$D$5&gt;=INDEX(KHUNG_VAI_TRÒ!$F$9:$F$15,MATCH($C20,KHUNG_VAI_TRÒ!$A$9:$A$15,0))-0.0001,F20/KHUNG_VAI_TRÒ!$D$5&lt;=INDEX(KHUNG_VAI_TRÒ!$G$9:$G$15,MATCH($C20,KHUNG_VAI_TRÒ!$A$9:$A$15,0))+0.0001,G20/KHUNG_VAI_TRÒ!$E$5&gt;=INDEX(KHUNG_VAI_TRÒ!$H$9:$H$15,MATCH($C20,KHUNG_VAI_TRÒ!$A$9:$A$15,0))-0.0001,G20/KHUNG_VAI_TRÒ!$E$5&lt;=INDEX(KHUNG_VAI_TRÒ!$I$9:$I$15,MATCH($C20,KHUNG_VAI_TRÒ!$A$9:$A$15,0))+0.0001),"OK","Ngoài khung"),"Vai trò?"))</f>
        <v/>
      </c>
    </row>
    <row r="21" customFormat="false" ht="15" hidden="false" customHeight="true" outlineLevel="0" collapsed="false">
      <c r="A21" s="22" t="str">
        <f aca="false">NHÂN_VẬT!$A$21</f>
        <v>NV17</v>
      </c>
      <c r="B21" s="22" t="str">
        <f aca="false">IF(NHÂN_VẬT!$B$21="","",NHÂN_VẬT!$B$21)</f>
        <v/>
      </c>
      <c r="C21" s="22" t="str">
        <f aca="false">IF(NHÂN_VẬT!$D$21="","",NHÂN_VẬT!$D$21)</f>
        <v/>
      </c>
      <c r="D21" s="18"/>
      <c r="E21" s="18"/>
      <c r="F21" s="18"/>
      <c r="G21" s="23"/>
      <c r="H21" s="23"/>
      <c r="I21" s="24"/>
      <c r="J21" s="24"/>
      <c r="K21" s="24"/>
      <c r="L21" s="25"/>
      <c r="M21" s="24"/>
      <c r="N21" s="26" t="str">
        <f aca="false">IF(OR(D21="",E21="",F21=""),"",D21*(100+F21)/100*E21/(KHUNG_VAI_TRÒ!$B$5*(100+KHUNG_VAI_TRÒ!$D$5)/100*KHUNG_VAI_TRÒ!$C$5))</f>
        <v/>
      </c>
      <c r="O21" s="22" t="str">
        <f aca="false">IF(OR(D21="",E21="",F21="",G21="",C21=""),"",IFERROR(IF(AND(D21/KHUNG_VAI_TRÒ!$B$5&gt;=INDEX(KHUNG_VAI_TRÒ!$B$9:$B$15,MATCH($C21,KHUNG_VAI_TRÒ!$A$9:$A$15,0))-0.0001,D21/KHUNG_VAI_TRÒ!$B$5&lt;=INDEX(KHUNG_VAI_TRÒ!$C$9:$C$15,MATCH($C21,KHUNG_VAI_TRÒ!$A$9:$A$15,0))+0.0001,E21/KHUNG_VAI_TRÒ!$C$5&gt;=INDEX(KHUNG_VAI_TRÒ!$D$9:$D$15,MATCH($C21,KHUNG_VAI_TRÒ!$A$9:$A$15,0))-0.0001,E21/KHUNG_VAI_TRÒ!$C$5&lt;=INDEX(KHUNG_VAI_TRÒ!$E$9:$E$15,MATCH($C21,KHUNG_VAI_TRÒ!$A$9:$A$15,0))+0.0001,F21/KHUNG_VAI_TRÒ!$D$5&gt;=INDEX(KHUNG_VAI_TRÒ!$F$9:$F$15,MATCH($C21,KHUNG_VAI_TRÒ!$A$9:$A$15,0))-0.0001,F21/KHUNG_VAI_TRÒ!$D$5&lt;=INDEX(KHUNG_VAI_TRÒ!$G$9:$G$15,MATCH($C21,KHUNG_VAI_TRÒ!$A$9:$A$15,0))+0.0001,G21/KHUNG_VAI_TRÒ!$E$5&gt;=INDEX(KHUNG_VAI_TRÒ!$H$9:$H$15,MATCH($C21,KHUNG_VAI_TRÒ!$A$9:$A$15,0))-0.0001,G21/KHUNG_VAI_TRÒ!$E$5&lt;=INDEX(KHUNG_VAI_TRÒ!$I$9:$I$15,MATCH($C21,KHUNG_VAI_TRÒ!$A$9:$A$15,0))+0.0001),"OK","Ngoài khung"),"Vai trò?"))</f>
        <v/>
      </c>
    </row>
    <row r="22" customFormat="false" ht="15" hidden="false" customHeight="true" outlineLevel="0" collapsed="false">
      <c r="A22" s="22" t="str">
        <f aca="false">NHÂN_VẬT!$A$22</f>
        <v>NV18</v>
      </c>
      <c r="B22" s="22" t="str">
        <f aca="false">IF(NHÂN_VẬT!$B$22="","",NHÂN_VẬT!$B$22)</f>
        <v/>
      </c>
      <c r="C22" s="22" t="str">
        <f aca="false">IF(NHÂN_VẬT!$D$22="","",NHÂN_VẬT!$D$22)</f>
        <v/>
      </c>
      <c r="D22" s="18"/>
      <c r="E22" s="18"/>
      <c r="F22" s="18"/>
      <c r="G22" s="23"/>
      <c r="H22" s="23"/>
      <c r="I22" s="24"/>
      <c r="J22" s="24"/>
      <c r="K22" s="24"/>
      <c r="L22" s="25"/>
      <c r="M22" s="24"/>
      <c r="N22" s="26" t="str">
        <f aca="false">IF(OR(D22="",E22="",F22=""),"",D22*(100+F22)/100*E22/(KHUNG_VAI_TRÒ!$B$5*(100+KHUNG_VAI_TRÒ!$D$5)/100*KHUNG_VAI_TRÒ!$C$5))</f>
        <v/>
      </c>
      <c r="O22" s="22" t="str">
        <f aca="false">IF(OR(D22="",E22="",F22="",G22="",C22=""),"",IFERROR(IF(AND(D22/KHUNG_VAI_TRÒ!$B$5&gt;=INDEX(KHUNG_VAI_TRÒ!$B$9:$B$15,MATCH($C22,KHUNG_VAI_TRÒ!$A$9:$A$15,0))-0.0001,D22/KHUNG_VAI_TRÒ!$B$5&lt;=INDEX(KHUNG_VAI_TRÒ!$C$9:$C$15,MATCH($C22,KHUNG_VAI_TRÒ!$A$9:$A$15,0))+0.0001,E22/KHUNG_VAI_TRÒ!$C$5&gt;=INDEX(KHUNG_VAI_TRÒ!$D$9:$D$15,MATCH($C22,KHUNG_VAI_TRÒ!$A$9:$A$15,0))-0.0001,E22/KHUNG_VAI_TRÒ!$C$5&lt;=INDEX(KHUNG_VAI_TRÒ!$E$9:$E$15,MATCH($C22,KHUNG_VAI_TRÒ!$A$9:$A$15,0))+0.0001,F22/KHUNG_VAI_TRÒ!$D$5&gt;=INDEX(KHUNG_VAI_TRÒ!$F$9:$F$15,MATCH($C22,KHUNG_VAI_TRÒ!$A$9:$A$15,0))-0.0001,F22/KHUNG_VAI_TRÒ!$D$5&lt;=INDEX(KHUNG_VAI_TRÒ!$G$9:$G$15,MATCH($C22,KHUNG_VAI_TRÒ!$A$9:$A$15,0))+0.0001,G22/KHUNG_VAI_TRÒ!$E$5&gt;=INDEX(KHUNG_VAI_TRÒ!$H$9:$H$15,MATCH($C22,KHUNG_VAI_TRÒ!$A$9:$A$15,0))-0.0001,G22/KHUNG_VAI_TRÒ!$E$5&lt;=INDEX(KHUNG_VAI_TRÒ!$I$9:$I$15,MATCH($C22,KHUNG_VAI_TRÒ!$A$9:$A$15,0))+0.0001),"OK","Ngoài khung"),"Vai trò?"))</f>
        <v/>
      </c>
    </row>
    <row r="23" customFormat="false" ht="15" hidden="false" customHeight="true" outlineLevel="0" collapsed="false">
      <c r="A23" s="22" t="str">
        <f aca="false">NHÂN_VẬT!$A$23</f>
        <v>NV19</v>
      </c>
      <c r="B23" s="22" t="str">
        <f aca="false">IF(NHÂN_VẬT!$B$23="","",NHÂN_VẬT!$B$23)</f>
        <v/>
      </c>
      <c r="C23" s="22" t="str">
        <f aca="false">IF(NHÂN_VẬT!$D$23="","",NHÂN_VẬT!$D$23)</f>
        <v/>
      </c>
      <c r="D23" s="18"/>
      <c r="E23" s="18"/>
      <c r="F23" s="18"/>
      <c r="G23" s="23"/>
      <c r="H23" s="23"/>
      <c r="I23" s="24"/>
      <c r="J23" s="24"/>
      <c r="K23" s="24"/>
      <c r="L23" s="25"/>
      <c r="M23" s="24"/>
      <c r="N23" s="26" t="str">
        <f aca="false">IF(OR(D23="",E23="",F23=""),"",D23*(100+F23)/100*E23/(KHUNG_VAI_TRÒ!$B$5*(100+KHUNG_VAI_TRÒ!$D$5)/100*KHUNG_VAI_TRÒ!$C$5))</f>
        <v/>
      </c>
      <c r="O23" s="22" t="str">
        <f aca="false">IF(OR(D23="",E23="",F23="",G23="",C23=""),"",IFERROR(IF(AND(D23/KHUNG_VAI_TRÒ!$B$5&gt;=INDEX(KHUNG_VAI_TRÒ!$B$9:$B$15,MATCH($C23,KHUNG_VAI_TRÒ!$A$9:$A$15,0))-0.0001,D23/KHUNG_VAI_TRÒ!$B$5&lt;=INDEX(KHUNG_VAI_TRÒ!$C$9:$C$15,MATCH($C23,KHUNG_VAI_TRÒ!$A$9:$A$15,0))+0.0001,E23/KHUNG_VAI_TRÒ!$C$5&gt;=INDEX(KHUNG_VAI_TRÒ!$D$9:$D$15,MATCH($C23,KHUNG_VAI_TRÒ!$A$9:$A$15,0))-0.0001,E23/KHUNG_VAI_TRÒ!$C$5&lt;=INDEX(KHUNG_VAI_TRÒ!$E$9:$E$15,MATCH($C23,KHUNG_VAI_TRÒ!$A$9:$A$15,0))+0.0001,F23/KHUNG_VAI_TRÒ!$D$5&gt;=INDEX(KHUNG_VAI_TRÒ!$F$9:$F$15,MATCH($C23,KHUNG_VAI_TRÒ!$A$9:$A$15,0))-0.0001,F23/KHUNG_VAI_TRÒ!$D$5&lt;=INDEX(KHUNG_VAI_TRÒ!$G$9:$G$15,MATCH($C23,KHUNG_VAI_TRÒ!$A$9:$A$15,0))+0.0001,G23/KHUNG_VAI_TRÒ!$E$5&gt;=INDEX(KHUNG_VAI_TRÒ!$H$9:$H$15,MATCH($C23,KHUNG_VAI_TRÒ!$A$9:$A$15,0))-0.0001,G23/KHUNG_VAI_TRÒ!$E$5&lt;=INDEX(KHUNG_VAI_TRÒ!$I$9:$I$15,MATCH($C23,KHUNG_VAI_TRÒ!$A$9:$A$15,0))+0.0001),"OK","Ngoài khung"),"Vai trò?"))</f>
        <v/>
      </c>
    </row>
    <row r="24" customFormat="false" ht="15" hidden="false" customHeight="true" outlineLevel="0" collapsed="false">
      <c r="A24" s="22" t="str">
        <f aca="false">NHÂN_VẬT!$A$24</f>
        <v>NV20</v>
      </c>
      <c r="B24" s="22" t="str">
        <f aca="false">IF(NHÂN_VẬT!$B$24="","",NHÂN_VẬT!$B$24)</f>
        <v/>
      </c>
      <c r="C24" s="22" t="str">
        <f aca="false">IF(NHÂN_VẬT!$D$24="","",NHÂN_VẬT!$D$24)</f>
        <v/>
      </c>
      <c r="D24" s="18"/>
      <c r="E24" s="18"/>
      <c r="F24" s="18"/>
      <c r="G24" s="23"/>
      <c r="H24" s="23"/>
      <c r="I24" s="24"/>
      <c r="J24" s="24"/>
      <c r="K24" s="24"/>
      <c r="L24" s="25"/>
      <c r="M24" s="24"/>
      <c r="N24" s="26" t="str">
        <f aca="false">IF(OR(D24="",E24="",F24=""),"",D24*(100+F24)/100*E24/(KHUNG_VAI_TRÒ!$B$5*(100+KHUNG_VAI_TRÒ!$D$5)/100*KHUNG_VAI_TRÒ!$C$5))</f>
        <v/>
      </c>
      <c r="O24" s="22" t="str">
        <f aca="false">IF(OR(D24="",E24="",F24="",G24="",C24=""),"",IFERROR(IF(AND(D24/KHUNG_VAI_TRÒ!$B$5&gt;=INDEX(KHUNG_VAI_TRÒ!$B$9:$B$15,MATCH($C24,KHUNG_VAI_TRÒ!$A$9:$A$15,0))-0.0001,D24/KHUNG_VAI_TRÒ!$B$5&lt;=INDEX(KHUNG_VAI_TRÒ!$C$9:$C$15,MATCH($C24,KHUNG_VAI_TRÒ!$A$9:$A$15,0))+0.0001,E24/KHUNG_VAI_TRÒ!$C$5&gt;=INDEX(KHUNG_VAI_TRÒ!$D$9:$D$15,MATCH($C24,KHUNG_VAI_TRÒ!$A$9:$A$15,0))-0.0001,E24/KHUNG_VAI_TRÒ!$C$5&lt;=INDEX(KHUNG_VAI_TRÒ!$E$9:$E$15,MATCH($C24,KHUNG_VAI_TRÒ!$A$9:$A$15,0))+0.0001,F24/KHUNG_VAI_TRÒ!$D$5&gt;=INDEX(KHUNG_VAI_TRÒ!$F$9:$F$15,MATCH($C24,KHUNG_VAI_TRÒ!$A$9:$A$15,0))-0.0001,F24/KHUNG_VAI_TRÒ!$D$5&lt;=INDEX(KHUNG_VAI_TRÒ!$G$9:$G$15,MATCH($C24,KHUNG_VAI_TRÒ!$A$9:$A$15,0))+0.0001,G24/KHUNG_VAI_TRÒ!$E$5&gt;=INDEX(KHUNG_VAI_TRÒ!$H$9:$H$15,MATCH($C24,KHUNG_VAI_TRÒ!$A$9:$A$15,0))-0.0001,G24/KHUNG_VAI_TRÒ!$E$5&lt;=INDEX(KHUNG_VAI_TRÒ!$I$9:$I$15,MATCH($C24,KHUNG_VAI_TRÒ!$A$9:$A$15,0))+0.0001),"OK","Ngoài khung"),"Vai trò?"))</f>
        <v/>
      </c>
    </row>
    <row r="25" customFormat="false" ht="15" hidden="false" customHeight="true" outlineLevel="0" collapsed="false">
      <c r="A25" s="22" t="str">
        <f aca="false">NHÂN_VẬT!$A$25</f>
        <v>NV21</v>
      </c>
      <c r="B25" s="22" t="str">
        <f aca="false">IF(NHÂN_VẬT!$B$25="","",NHÂN_VẬT!$B$25)</f>
        <v/>
      </c>
      <c r="C25" s="22" t="str">
        <f aca="false">IF(NHÂN_VẬT!$D$25="","",NHÂN_VẬT!$D$25)</f>
        <v/>
      </c>
      <c r="D25" s="18"/>
      <c r="E25" s="18"/>
      <c r="F25" s="18"/>
      <c r="G25" s="23"/>
      <c r="H25" s="23"/>
      <c r="I25" s="24"/>
      <c r="J25" s="24"/>
      <c r="K25" s="24"/>
      <c r="L25" s="25"/>
      <c r="M25" s="24"/>
      <c r="N25" s="26" t="str">
        <f aca="false">IF(OR(D25="",E25="",F25=""),"",D25*(100+F25)/100*E25/(KHUNG_VAI_TRÒ!$B$5*(100+KHUNG_VAI_TRÒ!$D$5)/100*KHUNG_VAI_TRÒ!$C$5))</f>
        <v/>
      </c>
      <c r="O25" s="22" t="str">
        <f aca="false">IF(OR(D25="",E25="",F25="",G25="",C25=""),"",IFERROR(IF(AND(D25/KHUNG_VAI_TRÒ!$B$5&gt;=INDEX(KHUNG_VAI_TRÒ!$B$9:$B$15,MATCH($C25,KHUNG_VAI_TRÒ!$A$9:$A$15,0))-0.0001,D25/KHUNG_VAI_TRÒ!$B$5&lt;=INDEX(KHUNG_VAI_TRÒ!$C$9:$C$15,MATCH($C25,KHUNG_VAI_TRÒ!$A$9:$A$15,0))+0.0001,E25/KHUNG_VAI_TRÒ!$C$5&gt;=INDEX(KHUNG_VAI_TRÒ!$D$9:$D$15,MATCH($C25,KHUNG_VAI_TRÒ!$A$9:$A$15,0))-0.0001,E25/KHUNG_VAI_TRÒ!$C$5&lt;=INDEX(KHUNG_VAI_TRÒ!$E$9:$E$15,MATCH($C25,KHUNG_VAI_TRÒ!$A$9:$A$15,0))+0.0001,F25/KHUNG_VAI_TRÒ!$D$5&gt;=INDEX(KHUNG_VAI_TRÒ!$F$9:$F$15,MATCH($C25,KHUNG_VAI_TRÒ!$A$9:$A$15,0))-0.0001,F25/KHUNG_VAI_TRÒ!$D$5&lt;=INDEX(KHUNG_VAI_TRÒ!$G$9:$G$15,MATCH($C25,KHUNG_VAI_TRÒ!$A$9:$A$15,0))+0.0001,G25/KHUNG_VAI_TRÒ!$E$5&gt;=INDEX(KHUNG_VAI_TRÒ!$H$9:$H$15,MATCH($C25,KHUNG_VAI_TRÒ!$A$9:$A$15,0))-0.0001,G25/KHUNG_VAI_TRÒ!$E$5&lt;=INDEX(KHUNG_VAI_TRÒ!$I$9:$I$15,MATCH($C25,KHUNG_VAI_TRÒ!$A$9:$A$15,0))+0.0001),"OK","Ngoài khung"),"Vai trò?"))</f>
        <v/>
      </c>
    </row>
    <row r="26" customFormat="false" ht="15" hidden="false" customHeight="true" outlineLevel="0" collapsed="false">
      <c r="A26" s="22" t="str">
        <f aca="false">NHÂN_VẬT!$A$26</f>
        <v>NV22</v>
      </c>
      <c r="B26" s="22" t="str">
        <f aca="false">IF(NHÂN_VẬT!$B$26="","",NHÂN_VẬT!$B$26)</f>
        <v/>
      </c>
      <c r="C26" s="22" t="str">
        <f aca="false">IF(NHÂN_VẬT!$D$26="","",NHÂN_VẬT!$D$26)</f>
        <v/>
      </c>
      <c r="D26" s="18"/>
      <c r="E26" s="18"/>
      <c r="F26" s="18"/>
      <c r="G26" s="23"/>
      <c r="H26" s="23"/>
      <c r="I26" s="24"/>
      <c r="J26" s="24"/>
      <c r="K26" s="24"/>
      <c r="L26" s="25"/>
      <c r="M26" s="24"/>
      <c r="N26" s="26" t="str">
        <f aca="false">IF(OR(D26="",E26="",F26=""),"",D26*(100+F26)/100*E26/(KHUNG_VAI_TRÒ!$B$5*(100+KHUNG_VAI_TRÒ!$D$5)/100*KHUNG_VAI_TRÒ!$C$5))</f>
        <v/>
      </c>
      <c r="O26" s="22" t="str">
        <f aca="false">IF(OR(D26="",E26="",F26="",G26="",C26=""),"",IFERROR(IF(AND(D26/KHUNG_VAI_TRÒ!$B$5&gt;=INDEX(KHUNG_VAI_TRÒ!$B$9:$B$15,MATCH($C26,KHUNG_VAI_TRÒ!$A$9:$A$15,0))-0.0001,D26/KHUNG_VAI_TRÒ!$B$5&lt;=INDEX(KHUNG_VAI_TRÒ!$C$9:$C$15,MATCH($C26,KHUNG_VAI_TRÒ!$A$9:$A$15,0))+0.0001,E26/KHUNG_VAI_TRÒ!$C$5&gt;=INDEX(KHUNG_VAI_TRÒ!$D$9:$D$15,MATCH($C26,KHUNG_VAI_TRÒ!$A$9:$A$15,0))-0.0001,E26/KHUNG_VAI_TRÒ!$C$5&lt;=INDEX(KHUNG_VAI_TRÒ!$E$9:$E$15,MATCH($C26,KHUNG_VAI_TRÒ!$A$9:$A$15,0))+0.0001,F26/KHUNG_VAI_TRÒ!$D$5&gt;=INDEX(KHUNG_VAI_TRÒ!$F$9:$F$15,MATCH($C26,KHUNG_VAI_TRÒ!$A$9:$A$15,0))-0.0001,F26/KHUNG_VAI_TRÒ!$D$5&lt;=INDEX(KHUNG_VAI_TRÒ!$G$9:$G$15,MATCH($C26,KHUNG_VAI_TRÒ!$A$9:$A$15,0))+0.0001,G26/KHUNG_VAI_TRÒ!$E$5&gt;=INDEX(KHUNG_VAI_TRÒ!$H$9:$H$15,MATCH($C26,KHUNG_VAI_TRÒ!$A$9:$A$15,0))-0.0001,G26/KHUNG_VAI_TRÒ!$E$5&lt;=INDEX(KHUNG_VAI_TRÒ!$I$9:$I$15,MATCH($C26,KHUNG_VAI_TRÒ!$A$9:$A$15,0))+0.0001),"OK","Ngoài khung"),"Vai trò?"))</f>
        <v/>
      </c>
    </row>
    <row r="27" customFormat="false" ht="15" hidden="false" customHeight="true" outlineLevel="0" collapsed="false">
      <c r="A27" s="22" t="str">
        <f aca="false">NHÂN_VẬT!$A$27</f>
        <v>NV23</v>
      </c>
      <c r="B27" s="22" t="str">
        <f aca="false">IF(NHÂN_VẬT!$B$27="","",NHÂN_VẬT!$B$27)</f>
        <v/>
      </c>
      <c r="C27" s="22" t="str">
        <f aca="false">IF(NHÂN_VẬT!$D$27="","",NHÂN_VẬT!$D$27)</f>
        <v/>
      </c>
      <c r="D27" s="18"/>
      <c r="E27" s="18"/>
      <c r="F27" s="18"/>
      <c r="G27" s="23"/>
      <c r="H27" s="23"/>
      <c r="I27" s="24"/>
      <c r="J27" s="24"/>
      <c r="K27" s="24"/>
      <c r="L27" s="25"/>
      <c r="M27" s="24"/>
      <c r="N27" s="26" t="str">
        <f aca="false">IF(OR(D27="",E27="",F27=""),"",D27*(100+F27)/100*E27/(KHUNG_VAI_TRÒ!$B$5*(100+KHUNG_VAI_TRÒ!$D$5)/100*KHUNG_VAI_TRÒ!$C$5))</f>
        <v/>
      </c>
      <c r="O27" s="22" t="str">
        <f aca="false">IF(OR(D27="",E27="",F27="",G27="",C27=""),"",IFERROR(IF(AND(D27/KHUNG_VAI_TRÒ!$B$5&gt;=INDEX(KHUNG_VAI_TRÒ!$B$9:$B$15,MATCH($C27,KHUNG_VAI_TRÒ!$A$9:$A$15,0))-0.0001,D27/KHUNG_VAI_TRÒ!$B$5&lt;=INDEX(KHUNG_VAI_TRÒ!$C$9:$C$15,MATCH($C27,KHUNG_VAI_TRÒ!$A$9:$A$15,0))+0.0001,E27/KHUNG_VAI_TRÒ!$C$5&gt;=INDEX(KHUNG_VAI_TRÒ!$D$9:$D$15,MATCH($C27,KHUNG_VAI_TRÒ!$A$9:$A$15,0))-0.0001,E27/KHUNG_VAI_TRÒ!$C$5&lt;=INDEX(KHUNG_VAI_TRÒ!$E$9:$E$15,MATCH($C27,KHUNG_VAI_TRÒ!$A$9:$A$15,0))+0.0001,F27/KHUNG_VAI_TRÒ!$D$5&gt;=INDEX(KHUNG_VAI_TRÒ!$F$9:$F$15,MATCH($C27,KHUNG_VAI_TRÒ!$A$9:$A$15,0))-0.0001,F27/KHUNG_VAI_TRÒ!$D$5&lt;=INDEX(KHUNG_VAI_TRÒ!$G$9:$G$15,MATCH($C27,KHUNG_VAI_TRÒ!$A$9:$A$15,0))+0.0001,G27/KHUNG_VAI_TRÒ!$E$5&gt;=INDEX(KHUNG_VAI_TRÒ!$H$9:$H$15,MATCH($C27,KHUNG_VAI_TRÒ!$A$9:$A$15,0))-0.0001,G27/KHUNG_VAI_TRÒ!$E$5&lt;=INDEX(KHUNG_VAI_TRÒ!$I$9:$I$15,MATCH($C27,KHUNG_VAI_TRÒ!$A$9:$A$15,0))+0.0001),"OK","Ngoài khung"),"Vai trò?"))</f>
        <v/>
      </c>
    </row>
    <row r="28" customFormat="false" ht="15" hidden="false" customHeight="true" outlineLevel="0" collapsed="false">
      <c r="A28" s="22" t="str">
        <f aca="false">NHÂN_VẬT!$A$28</f>
        <v>NV24</v>
      </c>
      <c r="B28" s="22" t="str">
        <f aca="false">IF(NHÂN_VẬT!$B$28="","",NHÂN_VẬT!$B$28)</f>
        <v/>
      </c>
      <c r="C28" s="22" t="str">
        <f aca="false">IF(NHÂN_VẬT!$D$28="","",NHÂN_VẬT!$D$28)</f>
        <v/>
      </c>
      <c r="D28" s="18"/>
      <c r="E28" s="18"/>
      <c r="F28" s="18"/>
      <c r="G28" s="23"/>
      <c r="H28" s="23"/>
      <c r="I28" s="24"/>
      <c r="J28" s="24"/>
      <c r="K28" s="24"/>
      <c r="L28" s="25"/>
      <c r="M28" s="24"/>
      <c r="N28" s="26" t="str">
        <f aca="false">IF(OR(D28="",E28="",F28=""),"",D28*(100+F28)/100*E28/(KHUNG_VAI_TRÒ!$B$5*(100+KHUNG_VAI_TRÒ!$D$5)/100*KHUNG_VAI_TRÒ!$C$5))</f>
        <v/>
      </c>
      <c r="O28" s="22" t="str">
        <f aca="false">IF(OR(D28="",E28="",F28="",G28="",C28=""),"",IFERROR(IF(AND(D28/KHUNG_VAI_TRÒ!$B$5&gt;=INDEX(KHUNG_VAI_TRÒ!$B$9:$B$15,MATCH($C28,KHUNG_VAI_TRÒ!$A$9:$A$15,0))-0.0001,D28/KHUNG_VAI_TRÒ!$B$5&lt;=INDEX(KHUNG_VAI_TRÒ!$C$9:$C$15,MATCH($C28,KHUNG_VAI_TRÒ!$A$9:$A$15,0))+0.0001,E28/KHUNG_VAI_TRÒ!$C$5&gt;=INDEX(KHUNG_VAI_TRÒ!$D$9:$D$15,MATCH($C28,KHUNG_VAI_TRÒ!$A$9:$A$15,0))-0.0001,E28/KHUNG_VAI_TRÒ!$C$5&lt;=INDEX(KHUNG_VAI_TRÒ!$E$9:$E$15,MATCH($C28,KHUNG_VAI_TRÒ!$A$9:$A$15,0))+0.0001,F28/KHUNG_VAI_TRÒ!$D$5&gt;=INDEX(KHUNG_VAI_TRÒ!$F$9:$F$15,MATCH($C28,KHUNG_VAI_TRÒ!$A$9:$A$15,0))-0.0001,F28/KHUNG_VAI_TRÒ!$D$5&lt;=INDEX(KHUNG_VAI_TRÒ!$G$9:$G$15,MATCH($C28,KHUNG_VAI_TRÒ!$A$9:$A$15,0))+0.0001,G28/KHUNG_VAI_TRÒ!$E$5&gt;=INDEX(KHUNG_VAI_TRÒ!$H$9:$H$15,MATCH($C28,KHUNG_VAI_TRÒ!$A$9:$A$15,0))-0.0001,G28/KHUNG_VAI_TRÒ!$E$5&lt;=INDEX(KHUNG_VAI_TRÒ!$I$9:$I$15,MATCH($C28,KHUNG_VAI_TRÒ!$A$9:$A$15,0))+0.0001),"OK","Ngoài khung"),"Vai trò?"))</f>
        <v/>
      </c>
    </row>
    <row r="29" customFormat="false" ht="15" hidden="false" customHeight="true" outlineLevel="0" collapsed="false">
      <c r="A29" s="22" t="str">
        <f aca="false">NHÂN_VẬT!$A$29</f>
        <v>NV25</v>
      </c>
      <c r="B29" s="22" t="str">
        <f aca="false">IF(NHÂN_VẬT!$B$29="","",NHÂN_VẬT!$B$29)</f>
        <v/>
      </c>
      <c r="C29" s="22" t="str">
        <f aca="false">IF(NHÂN_VẬT!$D$29="","",NHÂN_VẬT!$D$29)</f>
        <v/>
      </c>
      <c r="D29" s="18"/>
      <c r="E29" s="18"/>
      <c r="F29" s="18"/>
      <c r="G29" s="23"/>
      <c r="H29" s="23"/>
      <c r="I29" s="24"/>
      <c r="J29" s="24"/>
      <c r="K29" s="24"/>
      <c r="L29" s="25"/>
      <c r="M29" s="24"/>
      <c r="N29" s="26" t="str">
        <f aca="false">IF(OR(D29="",E29="",F29=""),"",D29*(100+F29)/100*E29/(KHUNG_VAI_TRÒ!$B$5*(100+KHUNG_VAI_TRÒ!$D$5)/100*KHUNG_VAI_TRÒ!$C$5))</f>
        <v/>
      </c>
      <c r="O29" s="22" t="str">
        <f aca="false">IF(OR(D29="",E29="",F29="",G29="",C29=""),"",IFERROR(IF(AND(D29/KHUNG_VAI_TRÒ!$B$5&gt;=INDEX(KHUNG_VAI_TRÒ!$B$9:$B$15,MATCH($C29,KHUNG_VAI_TRÒ!$A$9:$A$15,0))-0.0001,D29/KHUNG_VAI_TRÒ!$B$5&lt;=INDEX(KHUNG_VAI_TRÒ!$C$9:$C$15,MATCH($C29,KHUNG_VAI_TRÒ!$A$9:$A$15,0))+0.0001,E29/KHUNG_VAI_TRÒ!$C$5&gt;=INDEX(KHUNG_VAI_TRÒ!$D$9:$D$15,MATCH($C29,KHUNG_VAI_TRÒ!$A$9:$A$15,0))-0.0001,E29/KHUNG_VAI_TRÒ!$C$5&lt;=INDEX(KHUNG_VAI_TRÒ!$E$9:$E$15,MATCH($C29,KHUNG_VAI_TRÒ!$A$9:$A$15,0))+0.0001,F29/KHUNG_VAI_TRÒ!$D$5&gt;=INDEX(KHUNG_VAI_TRÒ!$F$9:$F$15,MATCH($C29,KHUNG_VAI_TRÒ!$A$9:$A$15,0))-0.0001,F29/KHUNG_VAI_TRÒ!$D$5&lt;=INDEX(KHUNG_VAI_TRÒ!$G$9:$G$15,MATCH($C29,KHUNG_VAI_TRÒ!$A$9:$A$15,0))+0.0001,G29/KHUNG_VAI_TRÒ!$E$5&gt;=INDEX(KHUNG_VAI_TRÒ!$H$9:$H$15,MATCH($C29,KHUNG_VAI_TRÒ!$A$9:$A$15,0))-0.0001,G29/KHUNG_VAI_TRÒ!$E$5&lt;=INDEX(KHUNG_VAI_TRÒ!$I$9:$I$15,MATCH($C29,KHUNG_VAI_TRÒ!$A$9:$A$15,0))+0.0001),"OK","Ngoài khung"),"Vai trò?"))</f>
        <v/>
      </c>
    </row>
    <row r="30" customFormat="false" ht="15" hidden="false" customHeight="true" outlineLevel="0" collapsed="false">
      <c r="A30" s="22" t="str">
        <f aca="false">NHÂN_VẬT!$A$30</f>
        <v>NV26</v>
      </c>
      <c r="B30" s="22" t="str">
        <f aca="false">IF(NHÂN_VẬT!$B$30="","",NHÂN_VẬT!$B$30)</f>
        <v/>
      </c>
      <c r="C30" s="22" t="str">
        <f aca="false">IF(NHÂN_VẬT!$D$30="","",NHÂN_VẬT!$D$30)</f>
        <v/>
      </c>
      <c r="D30" s="18"/>
      <c r="E30" s="18"/>
      <c r="F30" s="18"/>
      <c r="G30" s="23"/>
      <c r="H30" s="23"/>
      <c r="I30" s="24"/>
      <c r="J30" s="24"/>
      <c r="K30" s="24"/>
      <c r="L30" s="25"/>
      <c r="M30" s="24"/>
      <c r="N30" s="26" t="str">
        <f aca="false">IF(OR(D30="",E30="",F30=""),"",D30*(100+F30)/100*E30/(KHUNG_VAI_TRÒ!$B$5*(100+KHUNG_VAI_TRÒ!$D$5)/100*KHUNG_VAI_TRÒ!$C$5))</f>
        <v/>
      </c>
      <c r="O30" s="22" t="str">
        <f aca="false">IF(OR(D30="",E30="",F30="",G30="",C30=""),"",IFERROR(IF(AND(D30/KHUNG_VAI_TRÒ!$B$5&gt;=INDEX(KHUNG_VAI_TRÒ!$B$9:$B$15,MATCH($C30,KHUNG_VAI_TRÒ!$A$9:$A$15,0))-0.0001,D30/KHUNG_VAI_TRÒ!$B$5&lt;=INDEX(KHUNG_VAI_TRÒ!$C$9:$C$15,MATCH($C30,KHUNG_VAI_TRÒ!$A$9:$A$15,0))+0.0001,E30/KHUNG_VAI_TRÒ!$C$5&gt;=INDEX(KHUNG_VAI_TRÒ!$D$9:$D$15,MATCH($C30,KHUNG_VAI_TRÒ!$A$9:$A$15,0))-0.0001,E30/KHUNG_VAI_TRÒ!$C$5&lt;=INDEX(KHUNG_VAI_TRÒ!$E$9:$E$15,MATCH($C30,KHUNG_VAI_TRÒ!$A$9:$A$15,0))+0.0001,F30/KHUNG_VAI_TRÒ!$D$5&gt;=INDEX(KHUNG_VAI_TRÒ!$F$9:$F$15,MATCH($C30,KHUNG_VAI_TRÒ!$A$9:$A$15,0))-0.0001,F30/KHUNG_VAI_TRÒ!$D$5&lt;=INDEX(KHUNG_VAI_TRÒ!$G$9:$G$15,MATCH($C30,KHUNG_VAI_TRÒ!$A$9:$A$15,0))+0.0001,G30/KHUNG_VAI_TRÒ!$E$5&gt;=INDEX(KHUNG_VAI_TRÒ!$H$9:$H$15,MATCH($C30,KHUNG_VAI_TRÒ!$A$9:$A$15,0))-0.0001,G30/KHUNG_VAI_TRÒ!$E$5&lt;=INDEX(KHUNG_VAI_TRÒ!$I$9:$I$15,MATCH($C30,KHUNG_VAI_TRÒ!$A$9:$A$15,0))+0.0001),"OK","Ngoài khung"),"Vai trò?"))</f>
        <v/>
      </c>
    </row>
    <row r="31" customFormat="false" ht="15" hidden="false" customHeight="true" outlineLevel="0" collapsed="false">
      <c r="A31" s="22" t="str">
        <f aca="false">NHÂN_VẬT!$A$31</f>
        <v>NV27</v>
      </c>
      <c r="B31" s="22" t="str">
        <f aca="false">IF(NHÂN_VẬT!$B$31="","",NHÂN_VẬT!$B$31)</f>
        <v/>
      </c>
      <c r="C31" s="22" t="str">
        <f aca="false">IF(NHÂN_VẬT!$D$31="","",NHÂN_VẬT!$D$31)</f>
        <v/>
      </c>
      <c r="D31" s="18"/>
      <c r="E31" s="18"/>
      <c r="F31" s="18"/>
      <c r="G31" s="23"/>
      <c r="H31" s="23"/>
      <c r="I31" s="24"/>
      <c r="J31" s="24"/>
      <c r="K31" s="24"/>
      <c r="L31" s="25"/>
      <c r="M31" s="24"/>
      <c r="N31" s="26" t="str">
        <f aca="false">IF(OR(D31="",E31="",F31=""),"",D31*(100+F31)/100*E31/(KHUNG_VAI_TRÒ!$B$5*(100+KHUNG_VAI_TRÒ!$D$5)/100*KHUNG_VAI_TRÒ!$C$5))</f>
        <v/>
      </c>
      <c r="O31" s="22" t="str">
        <f aca="false">IF(OR(D31="",E31="",F31="",G31="",C31=""),"",IFERROR(IF(AND(D31/KHUNG_VAI_TRÒ!$B$5&gt;=INDEX(KHUNG_VAI_TRÒ!$B$9:$B$15,MATCH($C31,KHUNG_VAI_TRÒ!$A$9:$A$15,0))-0.0001,D31/KHUNG_VAI_TRÒ!$B$5&lt;=INDEX(KHUNG_VAI_TRÒ!$C$9:$C$15,MATCH($C31,KHUNG_VAI_TRÒ!$A$9:$A$15,0))+0.0001,E31/KHUNG_VAI_TRÒ!$C$5&gt;=INDEX(KHUNG_VAI_TRÒ!$D$9:$D$15,MATCH($C31,KHUNG_VAI_TRÒ!$A$9:$A$15,0))-0.0001,E31/KHUNG_VAI_TRÒ!$C$5&lt;=INDEX(KHUNG_VAI_TRÒ!$E$9:$E$15,MATCH($C31,KHUNG_VAI_TRÒ!$A$9:$A$15,0))+0.0001,F31/KHUNG_VAI_TRÒ!$D$5&gt;=INDEX(KHUNG_VAI_TRÒ!$F$9:$F$15,MATCH($C31,KHUNG_VAI_TRÒ!$A$9:$A$15,0))-0.0001,F31/KHUNG_VAI_TRÒ!$D$5&lt;=INDEX(KHUNG_VAI_TRÒ!$G$9:$G$15,MATCH($C31,KHUNG_VAI_TRÒ!$A$9:$A$15,0))+0.0001,G31/KHUNG_VAI_TRÒ!$E$5&gt;=INDEX(KHUNG_VAI_TRÒ!$H$9:$H$15,MATCH($C31,KHUNG_VAI_TRÒ!$A$9:$A$15,0))-0.0001,G31/KHUNG_VAI_TRÒ!$E$5&lt;=INDEX(KHUNG_VAI_TRÒ!$I$9:$I$15,MATCH($C31,KHUNG_VAI_TRÒ!$A$9:$A$15,0))+0.0001),"OK","Ngoài khung"),"Vai trò?"))</f>
        <v/>
      </c>
    </row>
    <row r="32" customFormat="false" ht="15" hidden="false" customHeight="true" outlineLevel="0" collapsed="false">
      <c r="A32" s="22" t="str">
        <f aca="false">NHÂN_VẬT!$A$32</f>
        <v>NV28</v>
      </c>
      <c r="B32" s="22" t="str">
        <f aca="false">IF(NHÂN_VẬT!$B$32="","",NHÂN_VẬT!$B$32)</f>
        <v/>
      </c>
      <c r="C32" s="22" t="str">
        <f aca="false">IF(NHÂN_VẬT!$D$32="","",NHÂN_VẬT!$D$32)</f>
        <v/>
      </c>
      <c r="D32" s="18"/>
      <c r="E32" s="18"/>
      <c r="F32" s="18"/>
      <c r="G32" s="23"/>
      <c r="H32" s="23"/>
      <c r="I32" s="24"/>
      <c r="J32" s="24"/>
      <c r="K32" s="24"/>
      <c r="L32" s="25"/>
      <c r="M32" s="24"/>
      <c r="N32" s="26" t="str">
        <f aca="false">IF(OR(D32="",E32="",F32=""),"",D32*(100+F32)/100*E32/(KHUNG_VAI_TRÒ!$B$5*(100+KHUNG_VAI_TRÒ!$D$5)/100*KHUNG_VAI_TRÒ!$C$5))</f>
        <v/>
      </c>
      <c r="O32" s="22" t="str">
        <f aca="false">IF(OR(D32="",E32="",F32="",G32="",C32=""),"",IFERROR(IF(AND(D32/KHUNG_VAI_TRÒ!$B$5&gt;=INDEX(KHUNG_VAI_TRÒ!$B$9:$B$15,MATCH($C32,KHUNG_VAI_TRÒ!$A$9:$A$15,0))-0.0001,D32/KHUNG_VAI_TRÒ!$B$5&lt;=INDEX(KHUNG_VAI_TRÒ!$C$9:$C$15,MATCH($C32,KHUNG_VAI_TRÒ!$A$9:$A$15,0))+0.0001,E32/KHUNG_VAI_TRÒ!$C$5&gt;=INDEX(KHUNG_VAI_TRÒ!$D$9:$D$15,MATCH($C32,KHUNG_VAI_TRÒ!$A$9:$A$15,0))-0.0001,E32/KHUNG_VAI_TRÒ!$C$5&lt;=INDEX(KHUNG_VAI_TRÒ!$E$9:$E$15,MATCH($C32,KHUNG_VAI_TRÒ!$A$9:$A$15,0))+0.0001,F32/KHUNG_VAI_TRÒ!$D$5&gt;=INDEX(KHUNG_VAI_TRÒ!$F$9:$F$15,MATCH($C32,KHUNG_VAI_TRÒ!$A$9:$A$15,0))-0.0001,F32/KHUNG_VAI_TRÒ!$D$5&lt;=INDEX(KHUNG_VAI_TRÒ!$G$9:$G$15,MATCH($C32,KHUNG_VAI_TRÒ!$A$9:$A$15,0))+0.0001,G32/KHUNG_VAI_TRÒ!$E$5&gt;=INDEX(KHUNG_VAI_TRÒ!$H$9:$H$15,MATCH($C32,KHUNG_VAI_TRÒ!$A$9:$A$15,0))-0.0001,G32/KHUNG_VAI_TRÒ!$E$5&lt;=INDEX(KHUNG_VAI_TRÒ!$I$9:$I$15,MATCH($C32,KHUNG_VAI_TRÒ!$A$9:$A$15,0))+0.0001),"OK","Ngoài khung"),"Vai trò?"))</f>
        <v/>
      </c>
    </row>
    <row r="33" customFormat="false" ht="15" hidden="false" customHeight="true" outlineLevel="0" collapsed="false">
      <c r="A33" s="22" t="str">
        <f aca="false">NHÂN_VẬT!$A$33</f>
        <v>NV29</v>
      </c>
      <c r="B33" s="22" t="str">
        <f aca="false">IF(NHÂN_VẬT!$B$33="","",NHÂN_VẬT!$B$33)</f>
        <v/>
      </c>
      <c r="C33" s="22" t="str">
        <f aca="false">IF(NHÂN_VẬT!$D$33="","",NHÂN_VẬT!$D$33)</f>
        <v/>
      </c>
      <c r="D33" s="18"/>
      <c r="E33" s="18"/>
      <c r="F33" s="18"/>
      <c r="G33" s="23"/>
      <c r="H33" s="23"/>
      <c r="I33" s="24"/>
      <c r="J33" s="24"/>
      <c r="K33" s="24"/>
      <c r="L33" s="25"/>
      <c r="M33" s="24"/>
      <c r="N33" s="26" t="str">
        <f aca="false">IF(OR(D33="",E33="",F33=""),"",D33*(100+F33)/100*E33/(KHUNG_VAI_TRÒ!$B$5*(100+KHUNG_VAI_TRÒ!$D$5)/100*KHUNG_VAI_TRÒ!$C$5))</f>
        <v/>
      </c>
      <c r="O33" s="22" t="str">
        <f aca="false">IF(OR(D33="",E33="",F33="",G33="",C33=""),"",IFERROR(IF(AND(D33/KHUNG_VAI_TRÒ!$B$5&gt;=INDEX(KHUNG_VAI_TRÒ!$B$9:$B$15,MATCH($C33,KHUNG_VAI_TRÒ!$A$9:$A$15,0))-0.0001,D33/KHUNG_VAI_TRÒ!$B$5&lt;=INDEX(KHUNG_VAI_TRÒ!$C$9:$C$15,MATCH($C33,KHUNG_VAI_TRÒ!$A$9:$A$15,0))+0.0001,E33/KHUNG_VAI_TRÒ!$C$5&gt;=INDEX(KHUNG_VAI_TRÒ!$D$9:$D$15,MATCH($C33,KHUNG_VAI_TRÒ!$A$9:$A$15,0))-0.0001,E33/KHUNG_VAI_TRÒ!$C$5&lt;=INDEX(KHUNG_VAI_TRÒ!$E$9:$E$15,MATCH($C33,KHUNG_VAI_TRÒ!$A$9:$A$15,0))+0.0001,F33/KHUNG_VAI_TRÒ!$D$5&gt;=INDEX(KHUNG_VAI_TRÒ!$F$9:$F$15,MATCH($C33,KHUNG_VAI_TRÒ!$A$9:$A$15,0))-0.0001,F33/KHUNG_VAI_TRÒ!$D$5&lt;=INDEX(KHUNG_VAI_TRÒ!$G$9:$G$15,MATCH($C33,KHUNG_VAI_TRÒ!$A$9:$A$15,0))+0.0001,G33/KHUNG_VAI_TRÒ!$E$5&gt;=INDEX(KHUNG_VAI_TRÒ!$H$9:$H$15,MATCH($C33,KHUNG_VAI_TRÒ!$A$9:$A$15,0))-0.0001,G33/KHUNG_VAI_TRÒ!$E$5&lt;=INDEX(KHUNG_VAI_TRÒ!$I$9:$I$15,MATCH($C33,KHUNG_VAI_TRÒ!$A$9:$A$15,0))+0.0001),"OK","Ngoài khung"),"Vai trò?"))</f>
        <v/>
      </c>
    </row>
    <row r="34" customFormat="false" ht="15" hidden="false" customHeight="true" outlineLevel="0" collapsed="false">
      <c r="A34" s="22" t="str">
        <f aca="false">NHÂN_VẬT!$A$34</f>
        <v>NV30</v>
      </c>
      <c r="B34" s="22" t="str">
        <f aca="false">IF(NHÂN_VẬT!$B$34="","",NHÂN_VẬT!$B$34)</f>
        <v/>
      </c>
      <c r="C34" s="22" t="str">
        <f aca="false">IF(NHÂN_VẬT!$D$34="","",NHÂN_VẬT!$D$34)</f>
        <v/>
      </c>
      <c r="D34" s="18"/>
      <c r="E34" s="18"/>
      <c r="F34" s="18"/>
      <c r="G34" s="23"/>
      <c r="H34" s="23"/>
      <c r="I34" s="24"/>
      <c r="J34" s="24"/>
      <c r="K34" s="24"/>
      <c r="L34" s="25"/>
      <c r="M34" s="24"/>
      <c r="N34" s="26" t="str">
        <f aca="false">IF(OR(D34="",E34="",F34=""),"",D34*(100+F34)/100*E34/(KHUNG_VAI_TRÒ!$B$5*(100+KHUNG_VAI_TRÒ!$D$5)/100*KHUNG_VAI_TRÒ!$C$5))</f>
        <v/>
      </c>
      <c r="O34" s="22" t="str">
        <f aca="false">IF(OR(D34="",E34="",F34="",G34="",C34=""),"",IFERROR(IF(AND(D34/KHUNG_VAI_TRÒ!$B$5&gt;=INDEX(KHUNG_VAI_TRÒ!$B$9:$B$15,MATCH($C34,KHUNG_VAI_TRÒ!$A$9:$A$15,0))-0.0001,D34/KHUNG_VAI_TRÒ!$B$5&lt;=INDEX(KHUNG_VAI_TRÒ!$C$9:$C$15,MATCH($C34,KHUNG_VAI_TRÒ!$A$9:$A$15,0))+0.0001,E34/KHUNG_VAI_TRÒ!$C$5&gt;=INDEX(KHUNG_VAI_TRÒ!$D$9:$D$15,MATCH($C34,KHUNG_VAI_TRÒ!$A$9:$A$15,0))-0.0001,E34/KHUNG_VAI_TRÒ!$C$5&lt;=INDEX(KHUNG_VAI_TRÒ!$E$9:$E$15,MATCH($C34,KHUNG_VAI_TRÒ!$A$9:$A$15,0))+0.0001,F34/KHUNG_VAI_TRÒ!$D$5&gt;=INDEX(KHUNG_VAI_TRÒ!$F$9:$F$15,MATCH($C34,KHUNG_VAI_TRÒ!$A$9:$A$15,0))-0.0001,F34/KHUNG_VAI_TRÒ!$D$5&lt;=INDEX(KHUNG_VAI_TRÒ!$G$9:$G$15,MATCH($C34,KHUNG_VAI_TRÒ!$A$9:$A$15,0))+0.0001,G34/KHUNG_VAI_TRÒ!$E$5&gt;=INDEX(KHUNG_VAI_TRÒ!$H$9:$H$15,MATCH($C34,KHUNG_VAI_TRÒ!$A$9:$A$15,0))-0.0001,G34/KHUNG_VAI_TRÒ!$E$5&lt;=INDEX(KHUNG_VAI_TRÒ!$I$9:$I$15,MATCH($C34,KHUNG_VAI_TRÒ!$A$9:$A$15,0))+0.0001),"OK","Ngoài khung"),"Vai trò?"))</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2" min="1" style="1" width="14"/>
    <col collapsed="false" customWidth="true" hidden="false" outlineLevel="0" max="5" min="3" style="1" width="12"/>
    <col collapsed="false" customWidth="true" hidden="false" outlineLevel="0" max="8" min="6" style="1" width="14"/>
    <col collapsed="false" customWidth="true" hidden="false" outlineLevel="0" max="9" min="9" style="1" width="16"/>
    <col collapsed="false" customWidth="true" hidden="false" outlineLevel="0" max="10" min="10" style="1" width="18"/>
    <col collapsed="false" customWidth="true" hidden="false" outlineLevel="0" max="11" min="11" style="1" width="20"/>
    <col collapsed="false" customWidth="true" hidden="false" outlineLevel="0" max="12" min="12" style="1" width="18"/>
    <col collapsed="false" customWidth="true" hidden="false" outlineLevel="0" max="13" min="13" style="1" width="36"/>
  </cols>
  <sheetData>
    <row r="1" customFormat="false" ht="18" hidden="false" customHeight="true" outlineLevel="0" collapsed="false">
      <c r="A1" s="2" t="s">
        <v>404</v>
      </c>
    </row>
    <row r="2" customFormat="false" ht="15" hidden="false" customHeight="true" outlineLevel="0" collapsed="false">
      <c r="A2" s="9" t="s">
        <v>405</v>
      </c>
    </row>
    <row r="4" customFormat="false" ht="42" hidden="false" customHeight="true" outlineLevel="0" collapsed="false">
      <c r="A4" s="10" t="s">
        <v>406</v>
      </c>
      <c r="B4" s="10" t="s">
        <v>407</v>
      </c>
      <c r="C4" s="10" t="s">
        <v>408</v>
      </c>
      <c r="D4" s="10" t="s">
        <v>409</v>
      </c>
      <c r="E4" s="10" t="s">
        <v>410</v>
      </c>
      <c r="F4" s="10" t="s">
        <v>411</v>
      </c>
      <c r="G4" s="10" t="s">
        <v>412</v>
      </c>
      <c r="H4" s="10" t="s">
        <v>413</v>
      </c>
      <c r="I4" s="10" t="s">
        <v>414</v>
      </c>
      <c r="J4" s="10" t="s">
        <v>415</v>
      </c>
      <c r="K4" s="10" t="s">
        <v>416</v>
      </c>
      <c r="L4" s="10" t="s">
        <v>417</v>
      </c>
      <c r="M4" s="10" t="s">
        <v>57</v>
      </c>
    </row>
    <row r="5" customFormat="false" ht="15" hidden="false" customHeight="true" outlineLevel="0" collapsed="false">
      <c r="A5" s="17" t="s">
        <v>418</v>
      </c>
      <c r="B5" s="21" t="s">
        <v>418</v>
      </c>
      <c r="C5" s="27" t="n">
        <v>1</v>
      </c>
      <c r="D5" s="27" t="n">
        <v>1</v>
      </c>
      <c r="E5" s="27" t="n">
        <v>1</v>
      </c>
      <c r="F5" s="27" t="n">
        <v>1</v>
      </c>
      <c r="G5" s="23" t="n">
        <v>0</v>
      </c>
      <c r="H5" s="24" t="n">
        <v>0</v>
      </c>
      <c r="I5" s="24" t="n">
        <v>0</v>
      </c>
      <c r="J5" s="24" t="n">
        <v>0</v>
      </c>
      <c r="K5" s="24" t="n">
        <v>0</v>
      </c>
      <c r="L5" s="24" t="n">
        <v>0</v>
      </c>
      <c r="M5" s="21" t="s">
        <v>419</v>
      </c>
    </row>
    <row r="6" customFormat="false" ht="15" hidden="false" customHeight="true" outlineLevel="0" collapsed="false">
      <c r="A6" s="17" t="s">
        <v>420</v>
      </c>
      <c r="B6" s="21" t="s">
        <v>420</v>
      </c>
      <c r="C6" s="27" t="n">
        <v>1.15</v>
      </c>
      <c r="D6" s="27" t="n">
        <v>1.15</v>
      </c>
      <c r="E6" s="27" t="n">
        <v>1.15</v>
      </c>
      <c r="F6" s="27" t="n">
        <v>1.15</v>
      </c>
      <c r="G6" s="23" t="n">
        <v>1</v>
      </c>
      <c r="H6" s="24" t="n">
        <v>0.005</v>
      </c>
      <c r="I6" s="24" t="n">
        <v>0.005</v>
      </c>
      <c r="J6" s="24" t="n">
        <v>0.005</v>
      </c>
      <c r="K6" s="24" t="n">
        <v>0</v>
      </c>
      <c r="L6" s="24" t="n">
        <v>0.005</v>
      </c>
      <c r="M6" s="21" t="s">
        <v>419</v>
      </c>
    </row>
    <row r="7" customFormat="false" ht="15" hidden="false" customHeight="true" outlineLevel="0" collapsed="false">
      <c r="A7" s="17" t="s">
        <v>421</v>
      </c>
      <c r="B7" s="21" t="s">
        <v>421</v>
      </c>
      <c r="C7" s="27" t="n">
        <v>1.3</v>
      </c>
      <c r="D7" s="27" t="n">
        <v>1.3</v>
      </c>
      <c r="E7" s="27" t="n">
        <v>1.3</v>
      </c>
      <c r="F7" s="27" t="n">
        <v>1.3</v>
      </c>
      <c r="G7" s="23" t="n">
        <v>2</v>
      </c>
      <c r="H7" s="24" t="n">
        <v>0.01</v>
      </c>
      <c r="I7" s="24" t="n">
        <v>0.01</v>
      </c>
      <c r="J7" s="24" t="n">
        <v>0.01</v>
      </c>
      <c r="K7" s="24" t="n">
        <v>0.05</v>
      </c>
      <c r="L7" s="24" t="n">
        <v>0.01</v>
      </c>
      <c r="M7" s="21" t="s">
        <v>419</v>
      </c>
    </row>
    <row r="8" customFormat="false" ht="15" hidden="false" customHeight="true" outlineLevel="0" collapsed="false">
      <c r="A8" s="17" t="s">
        <v>422</v>
      </c>
      <c r="B8" s="21" t="s">
        <v>422</v>
      </c>
      <c r="C8" s="27" t="n">
        <v>1.5</v>
      </c>
      <c r="D8" s="27" t="n">
        <v>1.5</v>
      </c>
      <c r="E8" s="27" t="n">
        <v>1.5</v>
      </c>
      <c r="F8" s="27" t="n">
        <v>1.5</v>
      </c>
      <c r="G8" s="23" t="n">
        <v>3</v>
      </c>
      <c r="H8" s="24" t="n">
        <v>0.015</v>
      </c>
      <c r="I8" s="24" t="n">
        <v>0.015</v>
      </c>
      <c r="J8" s="24" t="n">
        <v>0.015</v>
      </c>
      <c r="K8" s="24" t="n">
        <v>0.1</v>
      </c>
      <c r="L8" s="24" t="n">
        <v>0.015</v>
      </c>
      <c r="M8" s="21" t="s">
        <v>423</v>
      </c>
    </row>
    <row r="9" customFormat="false" ht="15" hidden="false" customHeight="true" outlineLevel="0" collapsed="false">
      <c r="A9" s="17" t="s">
        <v>424</v>
      </c>
      <c r="B9" s="21" t="s">
        <v>424</v>
      </c>
      <c r="C9" s="27" t="n">
        <v>1.75</v>
      </c>
      <c r="D9" s="27" t="n">
        <v>1.75</v>
      </c>
      <c r="E9" s="27" t="n">
        <v>1.75</v>
      </c>
      <c r="F9" s="27" t="n">
        <v>1.75</v>
      </c>
      <c r="G9" s="23" t="n">
        <v>4</v>
      </c>
      <c r="H9" s="24" t="n">
        <v>0.02</v>
      </c>
      <c r="I9" s="24" t="n">
        <v>0.02</v>
      </c>
      <c r="J9" s="24" t="n">
        <v>0.02</v>
      </c>
      <c r="K9" s="24" t="n">
        <v>0.15</v>
      </c>
      <c r="L9" s="24" t="n">
        <v>0.02</v>
      </c>
      <c r="M9" s="21" t="s">
        <v>423</v>
      </c>
    </row>
    <row r="11" customFormat="false" ht="15" hidden="false" customHeight="true" outlineLevel="0" collapsed="false">
      <c r="A11" s="19" t="s">
        <v>425</v>
      </c>
    </row>
    <row r="12" customFormat="false" ht="15" hidden="false" customHeight="true" outlineLevel="0" collapsed="false">
      <c r="A12" s="19"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45" activePane="bottomRight" state="frozen"/>
      <selection pane="topLeft" activeCell="A1" activeCellId="0" sqref="A1"/>
      <selection pane="topRight" activeCell="D1" activeCellId="0" sqref="D1"/>
      <selection pane="bottomLeft" activeCell="A45" activeCellId="0" sqref="A45"/>
      <selection pane="bottomRight" activeCell="D53" activeCellId="0" sqref="D53"/>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14"/>
    <col collapsed="false" customWidth="true" hidden="false" outlineLevel="0" max="7" min="4" style="1" width="10"/>
    <col collapsed="false" customWidth="true" hidden="false" outlineLevel="0" max="8" min="8" style="1" width="12"/>
    <col collapsed="false" customWidth="true" hidden="false" outlineLevel="0" max="9" min="9" style="1" width="10"/>
    <col collapsed="false" customWidth="true" hidden="false" outlineLevel="0" max="10" min="10" style="1" width="12"/>
    <col collapsed="false" customWidth="true" hidden="false" outlineLevel="0" max="11" min="11" style="1" width="14"/>
    <col collapsed="false" customWidth="true" hidden="false" outlineLevel="0" max="12" min="12" style="1" width="16"/>
    <col collapsed="false" customWidth="true" hidden="false" outlineLevel="0" max="13" min="13" style="1" width="14"/>
    <col collapsed="false" customWidth="true" hidden="false" outlineLevel="0" max="14" min="14" style="1" width="24"/>
  </cols>
  <sheetData>
    <row r="1" customFormat="false" ht="18" hidden="false" customHeight="true" outlineLevel="0" collapsed="false">
      <c r="A1" s="2" t="s">
        <v>427</v>
      </c>
    </row>
    <row r="2" customFormat="false" ht="15" hidden="false" customHeight="true" outlineLevel="0" collapsed="false">
      <c r="A2" s="9" t="s">
        <v>428</v>
      </c>
    </row>
    <row r="4" customFormat="false" ht="42" hidden="false" customHeight="true" outlineLevel="0" collapsed="false">
      <c r="A4" s="10" t="s">
        <v>323</v>
      </c>
      <c r="B4" s="10" t="s">
        <v>324</v>
      </c>
      <c r="C4" s="10" t="s">
        <v>406</v>
      </c>
      <c r="D4" s="10" t="s">
        <v>282</v>
      </c>
      <c r="E4" s="10" t="s">
        <v>283</v>
      </c>
      <c r="F4" s="10" t="s">
        <v>284</v>
      </c>
      <c r="G4" s="10" t="s">
        <v>285</v>
      </c>
      <c r="H4" s="10" t="s">
        <v>396</v>
      </c>
      <c r="I4" s="10" t="s">
        <v>397</v>
      </c>
      <c r="J4" s="10" t="s">
        <v>398</v>
      </c>
      <c r="K4" s="10" t="s">
        <v>399</v>
      </c>
      <c r="L4" s="10" t="s">
        <v>400</v>
      </c>
      <c r="M4" s="10" t="s">
        <v>401</v>
      </c>
      <c r="N4" s="10" t="s">
        <v>429</v>
      </c>
    </row>
    <row r="5" customFormat="false" ht="15" hidden="false" customHeight="true" outlineLevel="0" collapsed="false">
      <c r="A5" s="22" t="str">
        <f aca="false">NHÂN_VẬT!$A$6</f>
        <v>NV01</v>
      </c>
      <c r="B5" s="22" t="str">
        <f aca="false">IF(NHÂN_VẬT!$B$6="","",NHÂN_VẬT!$B$6)</f>
        <v>HCM-THỦ KHO HIẾU</v>
      </c>
      <c r="C5" s="22" t="str">
        <f aca="false">HỆ_SỐ_PHẨM_CHẤT!$A$5</f>
        <v>Trắng</v>
      </c>
      <c r="D5" s="28" t="n">
        <f aca="false">IF(CHỈ_SỐ_TRẮNG!$D$6="","",ROUND(CHỈ_SỐ_TRẮNG!$D$6*HỆ_SỐ_PHẨM_CHẤT!$C$5,0))</f>
        <v>1500</v>
      </c>
      <c r="E5" s="28" t="n">
        <f aca="false">IF(CHỈ_SỐ_TRẮNG!$E$6="","",ROUND(CHỈ_SỐ_TRẮNG!$E$6*HỆ_SỐ_PHẨM_CHẤT!$D$5,0))</f>
        <v>65</v>
      </c>
      <c r="F5" s="28" t="n">
        <f aca="false">IF(CHỈ_SỐ_TRẮNG!$F$6="","",ROUND(CHỈ_SỐ_TRẮNG!$F$6*HỆ_SỐ_PHẨM_CHẤT!$E$5,0))</f>
        <v>64</v>
      </c>
      <c r="G5" s="29" t="n">
        <f aca="false">IF(CHỈ_SỐ_TRẮNG!$G$6="","",CHỈ_SỐ_TRẮNG!$G$6+HỆ_SỐ_PHẨM_CHẤT!$G$5)</f>
        <v>88</v>
      </c>
      <c r="H5" s="29" t="n">
        <f aca="false">IF(CHỈ_SỐ_TRẮNG!$H$6="","",ROUND(CHỈ_SỐ_TRẮNG!$H$6*HỆ_SỐ_PHẨM_CHẤT!$F$5,1))</f>
        <v>24</v>
      </c>
      <c r="I5" s="30" t="n">
        <f aca="false">IF(CHỈ_SỐ_TRẮNG!$I$6="","",CHỈ_SỐ_TRẮNG!$I$6+HỆ_SỐ_PHẨM_CHẤT!$H$5)</f>
        <v>0.02</v>
      </c>
      <c r="J5" s="30" t="n">
        <f aca="false">IF(CHỈ_SỐ_TRẮNG!$J$6="","",CHỈ_SỐ_TRẮNG!$J$6+HỆ_SỐ_PHẨM_CHẤT!$I$5)</f>
        <v>0.02</v>
      </c>
      <c r="K5" s="30" t="n">
        <f aca="false">IF(CHỈ_SỐ_TRẮNG!$K$6="","",CHỈ_SỐ_TRẮNG!$K$6+HỆ_SỐ_PHẨM_CHẤT!$J$5)</f>
        <v>0.03</v>
      </c>
      <c r="L5" s="31" t="n">
        <f aca="false">IF(CHỈ_SỐ_TRẮNG!$L$6="","",CHỈ_SỐ_TRẮNG!$L$6+HỆ_SỐ_PHẨM_CHẤT!$K$5)</f>
        <v>1.5</v>
      </c>
      <c r="M5" s="30" t="n">
        <f aca="false">IF(CHỈ_SỐ_TRẮNG!$M$6="","",CHỈ_SỐ_TRẮNG!$M$6+HỆ_SỐ_PHẨM_CHẤT!$L$5)</f>
        <v>0.06</v>
      </c>
      <c r="N5" s="22" t="str">
        <f aca="false">IF(OR(N(I5)&gt;0.1,N(K5)&gt;0.1),"Né/chí mạng vượt 10%","")</f>
        <v/>
      </c>
    </row>
    <row r="6" customFormat="false" ht="15" hidden="false" customHeight="true" outlineLevel="0" collapsed="false">
      <c r="A6" s="22" t="str">
        <f aca="false">NHÂN_VẬT!$A$6</f>
        <v>NV01</v>
      </c>
      <c r="B6" s="22" t="str">
        <f aca="false">IF(NHÂN_VẬT!$B$6="","",NHÂN_VẬT!$B$6)</f>
        <v>HCM-THỦ KHO HIẾU</v>
      </c>
      <c r="C6" s="22" t="str">
        <f aca="false">HỆ_SỐ_PHẨM_CHẤT!$A$6</f>
        <v>Xanh lá</v>
      </c>
      <c r="D6" s="28" t="n">
        <f aca="false">IF(CHỈ_SỐ_TRẮNG!$D$6="","",ROUND(CHỈ_SỐ_TRẮNG!$D$6*HỆ_SỐ_PHẨM_CHẤT!$C$6,0))</f>
        <v>1725</v>
      </c>
      <c r="E6" s="28" t="n">
        <f aca="false">IF(CHỈ_SỐ_TRẮNG!$E$6="","",ROUND(CHỈ_SỐ_TRẮNG!$E$6*HỆ_SỐ_PHẨM_CHẤT!$D$6,0))</f>
        <v>75</v>
      </c>
      <c r="F6" s="28" t="n">
        <f aca="false">IF(CHỈ_SỐ_TRẮNG!$F$6="","",ROUND(CHỈ_SỐ_TRẮNG!$F$6*HỆ_SỐ_PHẨM_CHẤT!$E$6,0))</f>
        <v>74</v>
      </c>
      <c r="G6" s="29" t="n">
        <f aca="false">IF(CHỈ_SỐ_TRẮNG!$G$6="","",CHỈ_SỐ_TRẮNG!$G$6+HỆ_SỐ_PHẨM_CHẤT!$G$6)</f>
        <v>89</v>
      </c>
      <c r="H6" s="29" t="n">
        <f aca="false">IF(CHỈ_SỐ_TRẮNG!$H$6="","",ROUND(CHỈ_SỐ_TRẮNG!$H$6*HỆ_SỐ_PHẨM_CHẤT!$F$6,1))</f>
        <v>27.6</v>
      </c>
      <c r="I6" s="30" t="n">
        <f aca="false">IF(CHỈ_SỐ_TRẮNG!$I$6="","",CHỈ_SỐ_TRẮNG!$I$6+HỆ_SỐ_PHẨM_CHẤT!$H$6)</f>
        <v>0.025</v>
      </c>
      <c r="J6" s="30" t="n">
        <f aca="false">IF(CHỈ_SỐ_TRẮNG!$J$6="","",CHỈ_SỐ_TRẮNG!$J$6+HỆ_SỐ_PHẨM_CHẤT!$I$6)</f>
        <v>0.025</v>
      </c>
      <c r="K6" s="30" t="n">
        <f aca="false">IF(CHỈ_SỐ_TRẮNG!$K$6="","",CHỈ_SỐ_TRẮNG!$K$6+HỆ_SỐ_PHẨM_CHẤT!$J$6)</f>
        <v>0.035</v>
      </c>
      <c r="L6" s="31" t="n">
        <f aca="false">IF(CHỈ_SỐ_TRẮNG!$L$6="","",CHỈ_SỐ_TRẮNG!$L$6+HỆ_SỐ_PHẨM_CHẤT!$K$6)</f>
        <v>1.5</v>
      </c>
      <c r="M6" s="30" t="n">
        <f aca="false">IF(CHỈ_SỐ_TRẮNG!$M$6="","",CHỈ_SỐ_TRẮNG!$M$6+HỆ_SỐ_PHẨM_CHẤT!$L$6)</f>
        <v>0.065</v>
      </c>
      <c r="N6" s="22" t="str">
        <f aca="false">IF(OR(N(I6)&gt;0.1,N(K6)&gt;0.1),"Né/chí mạng vượt 10%","")</f>
        <v/>
      </c>
    </row>
    <row r="7" customFormat="false" ht="15" hidden="false" customHeight="true" outlineLevel="0" collapsed="false">
      <c r="A7" s="22" t="str">
        <f aca="false">NHÂN_VẬT!$A$6</f>
        <v>NV01</v>
      </c>
      <c r="B7" s="22" t="str">
        <f aca="false">IF(NHÂN_VẬT!$B$6="","",NHÂN_VẬT!$B$6)</f>
        <v>HCM-THỦ KHO HIẾU</v>
      </c>
      <c r="C7" s="22" t="str">
        <f aca="false">HỆ_SỐ_PHẨM_CHẤT!$A$7</f>
        <v>Xanh dương</v>
      </c>
      <c r="D7" s="28" t="n">
        <f aca="false">IF(CHỈ_SỐ_TRẮNG!$D$6="","",ROUND(CHỈ_SỐ_TRẮNG!$D$6*HỆ_SỐ_PHẨM_CHẤT!$C$7,0))</f>
        <v>1950</v>
      </c>
      <c r="E7" s="28" t="n">
        <f aca="false">IF(CHỈ_SỐ_TRẮNG!$E$6="","",ROUND(CHỈ_SỐ_TRẮNG!$E$6*HỆ_SỐ_PHẨM_CHẤT!$D$7,0))</f>
        <v>85</v>
      </c>
      <c r="F7" s="28" t="n">
        <f aca="false">IF(CHỈ_SỐ_TRẮNG!$F$6="","",ROUND(CHỈ_SỐ_TRẮNG!$F$6*HỆ_SỐ_PHẨM_CHẤT!$E$7,0))</f>
        <v>83</v>
      </c>
      <c r="G7" s="29" t="n">
        <f aca="false">IF(CHỈ_SỐ_TRẮNG!$G$6="","",CHỈ_SỐ_TRẮNG!$G$6+HỆ_SỐ_PHẨM_CHẤT!$G$7)</f>
        <v>90</v>
      </c>
      <c r="H7" s="29" t="n">
        <f aca="false">IF(CHỈ_SỐ_TRẮNG!$H$6="","",ROUND(CHỈ_SỐ_TRẮNG!$H$6*HỆ_SỐ_PHẨM_CHẤT!$F$7,1))</f>
        <v>31.2</v>
      </c>
      <c r="I7" s="30" t="n">
        <f aca="false">IF(CHỈ_SỐ_TRẮNG!$I$6="","",CHỈ_SỐ_TRẮNG!$I$6+HỆ_SỐ_PHẨM_CHẤT!$H$7)</f>
        <v>0.03</v>
      </c>
      <c r="J7" s="30" t="n">
        <f aca="false">IF(CHỈ_SỐ_TRẮNG!$J$6="","",CHỈ_SỐ_TRẮNG!$J$6+HỆ_SỐ_PHẨM_CHẤT!$I$7)</f>
        <v>0.03</v>
      </c>
      <c r="K7" s="30" t="n">
        <f aca="false">IF(CHỈ_SỐ_TRẮNG!$K$6="","",CHỈ_SỐ_TRẮNG!$K$6+HỆ_SỐ_PHẨM_CHẤT!$J$7)</f>
        <v>0.04</v>
      </c>
      <c r="L7" s="31" t="n">
        <f aca="false">IF(CHỈ_SỐ_TRẮNG!$L$6="","",CHỈ_SỐ_TRẮNG!$L$6+HỆ_SỐ_PHẨM_CHẤT!$K$7)</f>
        <v>1.55</v>
      </c>
      <c r="M7" s="30" t="n">
        <f aca="false">IF(CHỈ_SỐ_TRẮNG!$M$6="","",CHỈ_SỐ_TRẮNG!$M$6+HỆ_SỐ_PHẨM_CHẤT!$L$7)</f>
        <v>0.07</v>
      </c>
      <c r="N7" s="22" t="str">
        <f aca="false">IF(OR(N(I7)&gt;0.1,N(K7)&gt;0.1),"Né/chí mạng vượt 10%","")</f>
        <v/>
      </c>
    </row>
    <row r="8" customFormat="false" ht="15" hidden="false" customHeight="true" outlineLevel="0" collapsed="false">
      <c r="A8" s="22" t="str">
        <f aca="false">NHÂN_VẬT!$A$6</f>
        <v>NV01</v>
      </c>
      <c r="B8" s="22" t="str">
        <f aca="false">IF(NHÂN_VẬT!$B$6="","",NHÂN_VẬT!$B$6)</f>
        <v>HCM-THỦ KHO HIẾU</v>
      </c>
      <c r="C8" s="22" t="str">
        <f aca="false">HỆ_SỐ_PHẨM_CHẤT!$A$8</f>
        <v>Tím</v>
      </c>
      <c r="D8" s="28" t="n">
        <f aca="false">IF(CHỈ_SỐ_TRẮNG!$D$6="","",ROUND(CHỈ_SỐ_TRẮNG!$D$6*HỆ_SỐ_PHẨM_CHẤT!$C$8,0))</f>
        <v>2250</v>
      </c>
      <c r="E8" s="28" t="n">
        <f aca="false">IF(CHỈ_SỐ_TRẮNG!$E$6="","",ROUND(CHỈ_SỐ_TRẮNG!$E$6*HỆ_SỐ_PHẨM_CHẤT!$D$8,0))</f>
        <v>98</v>
      </c>
      <c r="F8" s="28" t="n">
        <f aca="false">IF(CHỈ_SỐ_TRẮNG!$F$6="","",ROUND(CHỈ_SỐ_TRẮNG!$F$6*HỆ_SỐ_PHẨM_CHẤT!$E$8,0))</f>
        <v>96</v>
      </c>
      <c r="G8" s="29" t="n">
        <f aca="false">IF(CHỈ_SỐ_TRẮNG!$G$6="","",CHỈ_SỐ_TRẮNG!$G$6+HỆ_SỐ_PHẨM_CHẤT!$G$8)</f>
        <v>91</v>
      </c>
      <c r="H8" s="29" t="n">
        <f aca="false">IF(CHỈ_SỐ_TRẮNG!$H$6="","",ROUND(CHỈ_SỐ_TRẮNG!$H$6*HỆ_SỐ_PHẨM_CHẤT!$F$8,1))</f>
        <v>36</v>
      </c>
      <c r="I8" s="30" t="n">
        <f aca="false">IF(CHỈ_SỐ_TRẮNG!$I$6="","",CHỈ_SỐ_TRẮNG!$I$6+HỆ_SỐ_PHẨM_CHẤT!$H$8)</f>
        <v>0.035</v>
      </c>
      <c r="J8" s="30" t="n">
        <f aca="false">IF(CHỈ_SỐ_TRẮNG!$J$6="","",CHỈ_SỐ_TRẮNG!$J$6+HỆ_SỐ_PHẨM_CHẤT!$I$8)</f>
        <v>0.035</v>
      </c>
      <c r="K8" s="30" t="n">
        <f aca="false">IF(CHỈ_SỐ_TRẮNG!$K$6="","",CHỈ_SỐ_TRẮNG!$K$6+HỆ_SỐ_PHẨM_CHẤT!$J$8)</f>
        <v>0.045</v>
      </c>
      <c r="L8" s="31" t="n">
        <f aca="false">IF(CHỈ_SỐ_TRẮNG!$L$6="","",CHỈ_SỐ_TRẮNG!$L$6+HỆ_SỐ_PHẨM_CHẤT!$K$8)</f>
        <v>1.6</v>
      </c>
      <c r="M8" s="30" t="n">
        <f aca="false">IF(CHỈ_SỐ_TRẮNG!$M$6="","",CHỈ_SỐ_TRẮNG!$M$6+HỆ_SỐ_PHẨM_CHẤT!$L$8)</f>
        <v>0.075</v>
      </c>
      <c r="N8" s="22" t="str">
        <f aca="false">IF(OR(N(I8)&gt;0.1,N(K8)&gt;0.1),"Né/chí mạng vượt 10%","")</f>
        <v/>
      </c>
    </row>
    <row r="9" customFormat="false" ht="15" hidden="false" customHeight="true" outlineLevel="0" collapsed="false">
      <c r="A9" s="22" t="str">
        <f aca="false">NHÂN_VẬT!$A$6</f>
        <v>NV01</v>
      </c>
      <c r="B9" s="22" t="str">
        <f aca="false">IF(NHÂN_VẬT!$B$6="","",NHÂN_VẬT!$B$6)</f>
        <v>HCM-THỦ KHO HIẾU</v>
      </c>
      <c r="C9" s="22" t="str">
        <f aca="false">HỆ_SỐ_PHẨM_CHẤT!$A$9</f>
        <v>Đỏ</v>
      </c>
      <c r="D9" s="28" t="n">
        <f aca="false">IF(CHỈ_SỐ_TRẮNG!$D$6="","",ROUND(CHỈ_SỐ_TRẮNG!$D$6*HỆ_SỐ_PHẨM_CHẤT!$C$9,0))</f>
        <v>2625</v>
      </c>
      <c r="E9" s="28" t="n">
        <f aca="false">IF(CHỈ_SỐ_TRẮNG!$E$6="","",ROUND(CHỈ_SỐ_TRẮNG!$E$6*HỆ_SỐ_PHẨM_CHẤT!$D$9,0))</f>
        <v>114</v>
      </c>
      <c r="F9" s="28" t="n">
        <f aca="false">IF(CHỈ_SỐ_TRẮNG!$F$6="","",ROUND(CHỈ_SỐ_TRẮNG!$F$6*HỆ_SỐ_PHẨM_CHẤT!$E$9,0))</f>
        <v>112</v>
      </c>
      <c r="G9" s="29" t="n">
        <f aca="false">IF(CHỈ_SỐ_TRẮNG!$G$6="","",CHỈ_SỐ_TRẮNG!$G$6+HỆ_SỐ_PHẨM_CHẤT!$G$9)</f>
        <v>92</v>
      </c>
      <c r="H9" s="29" t="n">
        <f aca="false">IF(CHỈ_SỐ_TRẮNG!$H$6="","",ROUND(CHỈ_SỐ_TRẮNG!$H$6*HỆ_SỐ_PHẨM_CHẤT!$F$9,1))</f>
        <v>42</v>
      </c>
      <c r="I9" s="30" t="n">
        <f aca="false">IF(CHỈ_SỐ_TRẮNG!$I$6="","",CHỈ_SỐ_TRẮNG!$I$6+HỆ_SỐ_PHẨM_CHẤT!$H$9)</f>
        <v>0.04</v>
      </c>
      <c r="J9" s="30" t="n">
        <f aca="false">IF(CHỈ_SỐ_TRẮNG!$J$6="","",CHỈ_SỐ_TRẮNG!$J$6+HỆ_SỐ_PHẨM_CHẤT!$I$9)</f>
        <v>0.04</v>
      </c>
      <c r="K9" s="30" t="n">
        <f aca="false">IF(CHỈ_SỐ_TRẮNG!$K$6="","",CHỈ_SỐ_TRẮNG!$K$6+HỆ_SỐ_PHẨM_CHẤT!$J$9)</f>
        <v>0.05</v>
      </c>
      <c r="L9" s="31" t="n">
        <f aca="false">IF(CHỈ_SỐ_TRẮNG!$L$6="","",CHỈ_SỐ_TRẮNG!$L$6+HỆ_SỐ_PHẨM_CHẤT!$K$9)</f>
        <v>1.65</v>
      </c>
      <c r="M9" s="30" t="n">
        <f aca="false">IF(CHỈ_SỐ_TRẮNG!$M$6="","",CHỈ_SỐ_TRẮNG!$M$6+HỆ_SỐ_PHẨM_CHẤT!$L$9)</f>
        <v>0.08</v>
      </c>
      <c r="N9" s="22" t="str">
        <f aca="false">IF(OR(N(I9)&gt;0.1,N(K9)&gt;0.1),"Né/chí mạng vượt 10%","")</f>
        <v/>
      </c>
    </row>
    <row r="10" customFormat="false" ht="15" hidden="false" customHeight="true" outlineLevel="0" collapsed="false">
      <c r="A10" s="22" t="str">
        <f aca="false">NHÂN_VẬT!$A$7</f>
        <v>NV02</v>
      </c>
      <c r="B10" s="22" t="str">
        <f aca="false">IF(NHÂN_VẬT!$B$7="","",NHÂN_VẬT!$B$7)</f>
        <v>HN-PHỤ KHO HƯNG</v>
      </c>
      <c r="C10" s="22" t="str">
        <f aca="false">HỆ_SỐ_PHẨM_CHẤT!$A$5</f>
        <v>Trắng</v>
      </c>
      <c r="D10" s="28" t="n">
        <f aca="false">IF(CHỈ_SỐ_TRẮNG!$D$7="","",ROUND(CHỈ_SỐ_TRẮNG!$D$7*HỆ_SỐ_PHẨM_CHẤT!$C$5,0))</f>
        <v>1350</v>
      </c>
      <c r="E10" s="28" t="n">
        <f aca="false">IF(CHỈ_SỐ_TRẮNG!$E$7="","",ROUND(CHỈ_SỐ_TRẮNG!$E$7*HỆ_SỐ_PHẨM_CHẤT!$D$5,0))</f>
        <v>75</v>
      </c>
      <c r="F10" s="28" t="n">
        <f aca="false">IF(CHỈ_SỐ_TRẮNG!$F$7="","",ROUND(CHỈ_SỐ_TRẮNG!$F$7*HỆ_SỐ_PHẨM_CHẤT!$E$5,0))</f>
        <v>56</v>
      </c>
      <c r="G10" s="29" t="n">
        <f aca="false">IF(CHỈ_SỐ_TRẮNG!$G$7="","",CHỈ_SỐ_TRẮNG!$G$7+HỆ_SỐ_PHẨM_CHẤT!$G$5)</f>
        <v>92</v>
      </c>
      <c r="H10" s="29" t="n">
        <f aca="false">IF(CHỈ_SỐ_TRẮNG!$H$7="","",ROUND(CHỈ_SỐ_TRẮNG!$H$7*HỆ_SỐ_PHẨM_CHẤT!$F$5,1))</f>
        <v>20</v>
      </c>
      <c r="I10" s="30" t="n">
        <f aca="false">IF(CHỈ_SỐ_TRẮNG!$I$7="","",CHỈ_SỐ_TRẮNG!$I$7+HỆ_SỐ_PHẨM_CHẤT!$H$5)</f>
        <v>0.03</v>
      </c>
      <c r="J10" s="30" t="n">
        <f aca="false">IF(CHỈ_SỐ_TRẮNG!$J$7="","",CHỈ_SỐ_TRẮNG!$J$7+HỆ_SỐ_PHẨM_CHẤT!$I$5)</f>
        <v>0.02</v>
      </c>
      <c r="K10" s="30" t="n">
        <f aca="false">IF(CHỈ_SỐ_TRẮNG!$K$7="","",CHỈ_SỐ_TRẮNG!$K$7+HỆ_SỐ_PHẨM_CHẤT!$J$5)</f>
        <v>0.03</v>
      </c>
      <c r="L10" s="31" t="n">
        <f aca="false">IF(CHỈ_SỐ_TRẮNG!$L$7="","",CHỈ_SỐ_TRẮNG!$L$7+HỆ_SỐ_PHẨM_CHẤT!$K$5)</f>
        <v>1.5</v>
      </c>
      <c r="M10" s="30" t="n">
        <f aca="false">IF(CHỈ_SỐ_TRẮNG!$M$7="","",CHỈ_SỐ_TRẮNG!$M$7+HỆ_SỐ_PHẨM_CHẤT!$L$5)</f>
        <v>0.05</v>
      </c>
      <c r="N10" s="22" t="str">
        <f aca="false">IF(OR(N(I10)&gt;0.1,N(K10)&gt;0.1),"Né/chí mạng vượt 10%","")</f>
        <v/>
      </c>
    </row>
    <row r="11" customFormat="false" ht="15" hidden="false" customHeight="true" outlineLevel="0" collapsed="false">
      <c r="A11" s="22" t="str">
        <f aca="false">NHÂN_VẬT!$A$7</f>
        <v>NV02</v>
      </c>
      <c r="B11" s="22" t="str">
        <f aca="false">IF(NHÂN_VẬT!$B$7="","",NHÂN_VẬT!$B$7)</f>
        <v>HN-PHỤ KHO HƯNG</v>
      </c>
      <c r="C11" s="22" t="str">
        <f aca="false">HỆ_SỐ_PHẨM_CHẤT!$A$6</f>
        <v>Xanh lá</v>
      </c>
      <c r="D11" s="28" t="n">
        <f aca="false">IF(CHỈ_SỐ_TRẮNG!$D$7="","",ROUND(CHỈ_SỐ_TRẮNG!$D$7*HỆ_SỐ_PHẨM_CHẤT!$C$6,0))</f>
        <v>1552</v>
      </c>
      <c r="E11" s="28" t="n">
        <f aca="false">IF(CHỈ_SỐ_TRẮNG!$E$7="","",ROUND(CHỈ_SỐ_TRẮNG!$E$7*HỆ_SỐ_PHẨM_CHẤT!$D$6,0))</f>
        <v>86</v>
      </c>
      <c r="F11" s="28" t="n">
        <f aca="false">IF(CHỈ_SỐ_TRẮNG!$F$7="","",ROUND(CHỈ_SỐ_TRẮNG!$F$7*HỆ_SỐ_PHẨM_CHẤT!$E$6,0))</f>
        <v>64</v>
      </c>
      <c r="G11" s="29" t="n">
        <f aca="false">IF(CHỈ_SỐ_TRẮNG!$G$7="","",CHỈ_SỐ_TRẮNG!$G$7+HỆ_SỐ_PHẨM_CHẤT!$G$6)</f>
        <v>93</v>
      </c>
      <c r="H11" s="29" t="n">
        <f aca="false">IF(CHỈ_SỐ_TRẮNG!$H$7="","",ROUND(CHỈ_SỐ_TRẮNG!$H$7*HỆ_SỐ_PHẨM_CHẤT!$F$6,1))</f>
        <v>23</v>
      </c>
      <c r="I11" s="30" t="n">
        <f aca="false">IF(CHỈ_SỐ_TRẮNG!$I$7="","",CHỈ_SỐ_TRẮNG!$I$7+HỆ_SỐ_PHẨM_CHẤT!$H$6)</f>
        <v>0.035</v>
      </c>
      <c r="J11" s="30" t="n">
        <f aca="false">IF(CHỈ_SỐ_TRẮNG!$J$7="","",CHỈ_SỐ_TRẮNG!$J$7+HỆ_SỐ_PHẨM_CHẤT!$I$6)</f>
        <v>0.025</v>
      </c>
      <c r="K11" s="30" t="n">
        <f aca="false">IF(CHỈ_SỐ_TRẮNG!$K$7="","",CHỈ_SỐ_TRẮNG!$K$7+HỆ_SỐ_PHẨM_CHẤT!$J$6)</f>
        <v>0.035</v>
      </c>
      <c r="L11" s="31" t="n">
        <f aca="false">IF(CHỈ_SỐ_TRẮNG!$L$7="","",CHỈ_SỐ_TRẮNG!$L$7+HỆ_SỐ_PHẨM_CHẤT!$K$6)</f>
        <v>1.5</v>
      </c>
      <c r="M11" s="30" t="n">
        <f aca="false">IF(CHỈ_SỐ_TRẮNG!$M$7="","",CHỈ_SỐ_TRẮNG!$M$7+HỆ_SỐ_PHẨM_CHẤT!$L$6)</f>
        <v>0.055</v>
      </c>
      <c r="N11" s="22" t="str">
        <f aca="false">IF(OR(N(I11)&gt;0.1,N(K11)&gt;0.1),"Né/chí mạng vượt 10%","")</f>
        <v/>
      </c>
    </row>
    <row r="12" customFormat="false" ht="15" hidden="false" customHeight="true" outlineLevel="0" collapsed="false">
      <c r="A12" s="22" t="str">
        <f aca="false">NHÂN_VẬT!$A$7</f>
        <v>NV02</v>
      </c>
      <c r="B12" s="22" t="str">
        <f aca="false">IF(NHÂN_VẬT!$B$7="","",NHÂN_VẬT!$B$7)</f>
        <v>HN-PHỤ KHO HƯNG</v>
      </c>
      <c r="C12" s="22" t="str">
        <f aca="false">HỆ_SỐ_PHẨM_CHẤT!$A$7</f>
        <v>Xanh dương</v>
      </c>
      <c r="D12" s="28" t="n">
        <f aca="false">IF(CHỈ_SỐ_TRẮNG!$D$7="","",ROUND(CHỈ_SỐ_TRẮNG!$D$7*HỆ_SỐ_PHẨM_CHẤT!$C$7,0))</f>
        <v>1755</v>
      </c>
      <c r="E12" s="28" t="n">
        <f aca="false">IF(CHỈ_SỐ_TRẮNG!$E$7="","",ROUND(CHỈ_SỐ_TRẮNG!$E$7*HỆ_SỐ_PHẨM_CHẤT!$D$7,0))</f>
        <v>98</v>
      </c>
      <c r="F12" s="28" t="n">
        <f aca="false">IF(CHỈ_SỐ_TRẮNG!$F$7="","",ROUND(CHỈ_SỐ_TRẮNG!$F$7*HỆ_SỐ_PHẨM_CHẤT!$E$7,0))</f>
        <v>73</v>
      </c>
      <c r="G12" s="29" t="n">
        <f aca="false">IF(CHỈ_SỐ_TRẮNG!$G$7="","",CHỈ_SỐ_TRẮNG!$G$7+HỆ_SỐ_PHẨM_CHẤT!$G$7)</f>
        <v>94</v>
      </c>
      <c r="H12" s="29" t="n">
        <f aca="false">IF(CHỈ_SỐ_TRẮNG!$H$7="","",ROUND(CHỈ_SỐ_TRẮNG!$H$7*HỆ_SỐ_PHẨM_CHẤT!$F$7,1))</f>
        <v>26</v>
      </c>
      <c r="I12" s="30" t="n">
        <f aca="false">IF(CHỈ_SỐ_TRẮNG!$I$7="","",CHỈ_SỐ_TRẮNG!$I$7+HỆ_SỐ_PHẨM_CHẤT!$H$7)</f>
        <v>0.04</v>
      </c>
      <c r="J12" s="30" t="n">
        <f aca="false">IF(CHỈ_SỐ_TRẮNG!$J$7="","",CHỈ_SỐ_TRẮNG!$J$7+HỆ_SỐ_PHẨM_CHẤT!$I$7)</f>
        <v>0.03</v>
      </c>
      <c r="K12" s="30" t="n">
        <f aca="false">IF(CHỈ_SỐ_TRẮNG!$K$7="","",CHỈ_SỐ_TRẮNG!$K$7+HỆ_SỐ_PHẨM_CHẤT!$J$7)</f>
        <v>0.04</v>
      </c>
      <c r="L12" s="31" t="n">
        <f aca="false">IF(CHỈ_SỐ_TRẮNG!$L$7="","",CHỈ_SỐ_TRẮNG!$L$7+HỆ_SỐ_PHẨM_CHẤT!$K$7)</f>
        <v>1.55</v>
      </c>
      <c r="M12" s="30" t="n">
        <f aca="false">IF(CHỈ_SỐ_TRẮNG!$M$7="","",CHỈ_SỐ_TRẮNG!$M$7+HỆ_SỐ_PHẨM_CHẤT!$L$7)</f>
        <v>0.06</v>
      </c>
      <c r="N12" s="22" t="str">
        <f aca="false">IF(OR(N(I12)&gt;0.1,N(K12)&gt;0.1),"Né/chí mạng vượt 10%","")</f>
        <v/>
      </c>
    </row>
    <row r="13" customFormat="false" ht="15" hidden="false" customHeight="true" outlineLevel="0" collapsed="false">
      <c r="A13" s="22" t="str">
        <f aca="false">NHÂN_VẬT!$A$7</f>
        <v>NV02</v>
      </c>
      <c r="B13" s="22" t="str">
        <f aca="false">IF(NHÂN_VẬT!$B$7="","",NHÂN_VẬT!$B$7)</f>
        <v>HN-PHỤ KHO HƯNG</v>
      </c>
      <c r="C13" s="22" t="str">
        <f aca="false">HỆ_SỐ_PHẨM_CHẤT!$A$8</f>
        <v>Tím</v>
      </c>
      <c r="D13" s="28" t="n">
        <f aca="false">IF(CHỈ_SỐ_TRẮNG!$D$7="","",ROUND(CHỈ_SỐ_TRẮNG!$D$7*HỆ_SỐ_PHẨM_CHẤT!$C$8,0))</f>
        <v>2025</v>
      </c>
      <c r="E13" s="28" t="n">
        <f aca="false">IF(CHỈ_SỐ_TRẮNG!$E$7="","",ROUND(CHỈ_SỐ_TRẮNG!$E$7*HỆ_SỐ_PHẨM_CHẤT!$D$8,0))</f>
        <v>113</v>
      </c>
      <c r="F13" s="28" t="n">
        <f aca="false">IF(CHỈ_SỐ_TRẮNG!$F$7="","",ROUND(CHỈ_SỐ_TRẮNG!$F$7*HỆ_SỐ_PHẨM_CHẤT!$E$8,0))</f>
        <v>84</v>
      </c>
      <c r="G13" s="29" t="n">
        <f aca="false">IF(CHỈ_SỐ_TRẮNG!$G$7="","",CHỈ_SỐ_TRẮNG!$G$7+HỆ_SỐ_PHẨM_CHẤT!$G$8)</f>
        <v>95</v>
      </c>
      <c r="H13" s="29" t="n">
        <f aca="false">IF(CHỈ_SỐ_TRẮNG!$H$7="","",ROUND(CHỈ_SỐ_TRẮNG!$H$7*HỆ_SỐ_PHẨM_CHẤT!$F$8,1))</f>
        <v>30</v>
      </c>
      <c r="I13" s="30" t="n">
        <f aca="false">IF(CHỈ_SỐ_TRẮNG!$I$7="","",CHỈ_SỐ_TRẮNG!$I$7+HỆ_SỐ_PHẨM_CHẤT!$H$8)</f>
        <v>0.045</v>
      </c>
      <c r="J13" s="30" t="n">
        <f aca="false">IF(CHỈ_SỐ_TRẮNG!$J$7="","",CHỈ_SỐ_TRẮNG!$J$7+HỆ_SỐ_PHẨM_CHẤT!$I$8)</f>
        <v>0.035</v>
      </c>
      <c r="K13" s="30" t="n">
        <f aca="false">IF(CHỈ_SỐ_TRẮNG!$K$7="","",CHỈ_SỐ_TRẮNG!$K$7+HỆ_SỐ_PHẨM_CHẤT!$J$8)</f>
        <v>0.045</v>
      </c>
      <c r="L13" s="31" t="n">
        <f aca="false">IF(CHỈ_SỐ_TRẮNG!$L$7="","",CHỈ_SỐ_TRẮNG!$L$7+HỆ_SỐ_PHẨM_CHẤT!$K$8)</f>
        <v>1.6</v>
      </c>
      <c r="M13" s="30" t="n">
        <f aca="false">IF(CHỈ_SỐ_TRẮNG!$M$7="","",CHỈ_SỐ_TRẮNG!$M$7+HỆ_SỐ_PHẨM_CHẤT!$L$8)</f>
        <v>0.065</v>
      </c>
      <c r="N13" s="22" t="str">
        <f aca="false">IF(OR(N(I13)&gt;0.1,N(K13)&gt;0.1),"Né/chí mạng vượt 10%","")</f>
        <v/>
      </c>
    </row>
    <row r="14" customFormat="false" ht="15" hidden="false" customHeight="true" outlineLevel="0" collapsed="false">
      <c r="A14" s="22" t="str">
        <f aca="false">NHÂN_VẬT!$A$7</f>
        <v>NV02</v>
      </c>
      <c r="B14" s="22" t="str">
        <f aca="false">IF(NHÂN_VẬT!$B$7="","",NHÂN_VẬT!$B$7)</f>
        <v>HN-PHỤ KHO HƯNG</v>
      </c>
      <c r="C14" s="22" t="str">
        <f aca="false">HỆ_SỐ_PHẨM_CHẤT!$A$9</f>
        <v>Đỏ</v>
      </c>
      <c r="D14" s="28" t="n">
        <f aca="false">IF(CHỈ_SỐ_TRẮNG!$D$7="","",ROUND(CHỈ_SỐ_TRẮNG!$D$7*HỆ_SỐ_PHẨM_CHẤT!$C$9,0))</f>
        <v>2363</v>
      </c>
      <c r="E14" s="28" t="n">
        <f aca="false">IF(CHỈ_SỐ_TRẮNG!$E$7="","",ROUND(CHỈ_SỐ_TRẮNG!$E$7*HỆ_SỐ_PHẨM_CHẤT!$D$9,0))</f>
        <v>131</v>
      </c>
      <c r="F14" s="28" t="n">
        <f aca="false">IF(CHỈ_SỐ_TRẮNG!$F$7="","",ROUND(CHỈ_SỐ_TRẮNG!$F$7*HỆ_SỐ_PHẨM_CHẤT!$E$9,0))</f>
        <v>98</v>
      </c>
      <c r="G14" s="29" t="n">
        <f aca="false">IF(CHỈ_SỐ_TRẮNG!$G$7="","",CHỈ_SỐ_TRẮNG!$G$7+HỆ_SỐ_PHẨM_CHẤT!$G$9)</f>
        <v>96</v>
      </c>
      <c r="H14" s="29" t="n">
        <f aca="false">IF(CHỈ_SỐ_TRẮNG!$H$7="","",ROUND(CHỈ_SỐ_TRẮNG!$H$7*HỆ_SỐ_PHẨM_CHẤT!$F$9,1))</f>
        <v>35</v>
      </c>
      <c r="I14" s="30" t="n">
        <f aca="false">IF(CHỈ_SỐ_TRẮNG!$I$7="","",CHỈ_SỐ_TRẮNG!$I$7+HỆ_SỐ_PHẨM_CHẤT!$H$9)</f>
        <v>0.05</v>
      </c>
      <c r="J14" s="30" t="n">
        <f aca="false">IF(CHỈ_SỐ_TRẮNG!$J$7="","",CHỈ_SỐ_TRẮNG!$J$7+HỆ_SỐ_PHẨM_CHẤT!$I$9)</f>
        <v>0.04</v>
      </c>
      <c r="K14" s="30" t="n">
        <f aca="false">IF(CHỈ_SỐ_TRẮNG!$K$7="","",CHỈ_SỐ_TRẮNG!$K$7+HỆ_SỐ_PHẨM_CHẤT!$J$9)</f>
        <v>0.05</v>
      </c>
      <c r="L14" s="31" t="n">
        <f aca="false">IF(CHỈ_SỐ_TRẮNG!$L$7="","",CHỈ_SỐ_TRẮNG!$L$7+HỆ_SỐ_PHẨM_CHẤT!$K$9)</f>
        <v>1.65</v>
      </c>
      <c r="M14" s="30" t="n">
        <f aca="false">IF(CHỈ_SỐ_TRẮNG!$M$7="","",CHỈ_SỐ_TRẮNG!$M$7+HỆ_SỐ_PHẨM_CHẤT!$L$9)</f>
        <v>0.07</v>
      </c>
      <c r="N14" s="22" t="str">
        <f aca="false">IF(OR(N(I14)&gt;0.1,N(K14)&gt;0.1),"Né/chí mạng vượt 10%","")</f>
        <v/>
      </c>
    </row>
    <row r="15" customFormat="false" ht="15" hidden="false" customHeight="true" outlineLevel="0" collapsed="false">
      <c r="A15" s="22" t="str">
        <f aca="false">NHÂN_VẬT!$A$8</f>
        <v>NV03</v>
      </c>
      <c r="B15" s="22" t="str">
        <f aca="false">IF(NHÂN_VẬT!$B$8="","",NHÂN_VẬT!$B$8)</f>
        <v>HCM-PHỤ KHO VŨ</v>
      </c>
      <c r="C15" s="22" t="str">
        <f aca="false">HỆ_SỐ_PHẨM_CHẤT!$A$5</f>
        <v>Trắng</v>
      </c>
      <c r="D15" s="28" t="n">
        <f aca="false">IF(CHỈ_SỐ_TRẮNG!$D$8="","",ROUND(CHỈ_SỐ_TRẮNG!$D$8*HỆ_SỐ_PHẨM_CHẤT!$C$5,0))</f>
        <v>820</v>
      </c>
      <c r="E15" s="28" t="n">
        <f aca="false">IF(CHỈ_SỐ_TRẮNG!$E$8="","",ROUND(CHỈ_SỐ_TRẮNG!$E$8*HỆ_SỐ_PHẨM_CHẤT!$D$5,0))</f>
        <v>140</v>
      </c>
      <c r="F15" s="28" t="n">
        <f aca="false">IF(CHỈ_SỐ_TRẮNG!$F$8="","",ROUND(CHỈ_SỐ_TRẮNG!$F$8*HỆ_SỐ_PHẨM_CHẤT!$E$5,0))</f>
        <v>36</v>
      </c>
      <c r="G15" s="29" t="n">
        <f aca="false">IF(CHỈ_SỐ_TRẮNG!$G$8="","",CHỈ_SỐ_TRẮNG!$G$8+HỆ_SỐ_PHẨM_CHẤT!$G$5)</f>
        <v>97</v>
      </c>
      <c r="H15" s="29" t="n">
        <f aca="false">IF(CHỈ_SỐ_TRẮNG!$H$8="","",ROUND(CHỈ_SỐ_TRẮNG!$H$8*HỆ_SỐ_PHẨM_CHẤT!$F$5,1))</f>
        <v>10</v>
      </c>
      <c r="I15" s="30" t="n">
        <f aca="false">IF(CHỈ_SỐ_TRẮNG!$I$8="","",CHỈ_SỐ_TRẮNG!$I$8+HỆ_SỐ_PHẨM_CHẤT!$H$5)</f>
        <v>0.03</v>
      </c>
      <c r="J15" s="30" t="n">
        <f aca="false">IF(CHỈ_SỐ_TRẮNG!$J$8="","",CHỈ_SỐ_TRẮNG!$J$8+HỆ_SỐ_PHẨM_CHẤT!$I$5)</f>
        <v>0.04</v>
      </c>
      <c r="K15" s="30" t="n">
        <f aca="false">IF(CHỈ_SỐ_TRẮNG!$K$8="","",CHỈ_SỐ_TRẮNG!$K$8+HỆ_SỐ_PHẨM_CHẤT!$J$5)</f>
        <v>0.06</v>
      </c>
      <c r="L15" s="31" t="n">
        <f aca="false">IF(CHỈ_SỐ_TRẮNG!$L$8="","",CHỈ_SỐ_TRẮNG!$L$8+HỆ_SỐ_PHẨM_CHẤT!$K$5)</f>
        <v>1.6</v>
      </c>
      <c r="M15" s="30" t="n">
        <f aca="false">IF(CHỈ_SỐ_TRẮNG!$M$8="","",CHỈ_SỐ_TRẮNG!$M$8+HỆ_SỐ_PHẨM_CHẤT!$L$5)</f>
        <v>0.01</v>
      </c>
      <c r="N15" s="22" t="str">
        <f aca="false">IF(OR(N(I15)&gt;0.1,N(K15)&gt;0.1),"Né/chí mạng vượt 10%","")</f>
        <v/>
      </c>
    </row>
    <row r="16" customFormat="false" ht="15" hidden="false" customHeight="true" outlineLevel="0" collapsed="false">
      <c r="A16" s="22" t="str">
        <f aca="false">NHÂN_VẬT!$A$8</f>
        <v>NV03</v>
      </c>
      <c r="B16" s="22" t="str">
        <f aca="false">IF(NHÂN_VẬT!$B$8="","",NHÂN_VẬT!$B$8)</f>
        <v>HCM-PHỤ KHO VŨ</v>
      </c>
      <c r="C16" s="22" t="str">
        <f aca="false">HỆ_SỐ_PHẨM_CHẤT!$A$6</f>
        <v>Xanh lá</v>
      </c>
      <c r="D16" s="28" t="n">
        <f aca="false">IF(CHỈ_SỐ_TRẮNG!$D$8="","",ROUND(CHỈ_SỐ_TRẮNG!$D$8*HỆ_SỐ_PHẨM_CHẤT!$C$6,0))</f>
        <v>943</v>
      </c>
      <c r="E16" s="28" t="n">
        <f aca="false">IF(CHỈ_SỐ_TRẮNG!$E$8="","",ROUND(CHỈ_SỐ_TRẮNG!$E$8*HỆ_SỐ_PHẨM_CHẤT!$D$6,0))</f>
        <v>161</v>
      </c>
      <c r="F16" s="28" t="n">
        <f aca="false">IF(CHỈ_SỐ_TRẮNG!$F$8="","",ROUND(CHỈ_SỐ_TRẮNG!$F$8*HỆ_SỐ_PHẨM_CHẤT!$E$6,0))</f>
        <v>41</v>
      </c>
      <c r="G16" s="29" t="n">
        <f aca="false">IF(CHỈ_SỐ_TRẮNG!$G$8="","",CHỈ_SỐ_TRẮNG!$G$8+HỆ_SỐ_PHẨM_CHẤT!$G$6)</f>
        <v>98</v>
      </c>
      <c r="H16" s="29" t="n">
        <f aca="false">IF(CHỈ_SỐ_TRẮNG!$H$8="","",ROUND(CHỈ_SỐ_TRẮNG!$H$8*HỆ_SỐ_PHẨM_CHẤT!$F$6,1))</f>
        <v>11.5</v>
      </c>
      <c r="I16" s="30" t="n">
        <f aca="false">IF(CHỈ_SỐ_TRẮNG!$I$8="","",CHỈ_SỐ_TRẮNG!$I$8+HỆ_SỐ_PHẨM_CHẤT!$H$6)</f>
        <v>0.035</v>
      </c>
      <c r="J16" s="30" t="n">
        <f aca="false">IF(CHỈ_SỐ_TRẮNG!$J$8="","",CHỈ_SỐ_TRẮNG!$J$8+HỆ_SỐ_PHẨM_CHẤT!$I$6)</f>
        <v>0.045</v>
      </c>
      <c r="K16" s="30" t="n">
        <f aca="false">IF(CHỈ_SỐ_TRẮNG!$K$8="","",CHỈ_SỐ_TRẮNG!$K$8+HỆ_SỐ_PHẨM_CHẤT!$J$6)</f>
        <v>0.065</v>
      </c>
      <c r="L16" s="31" t="n">
        <f aca="false">IF(CHỈ_SỐ_TRẮNG!$L$8="","",CHỈ_SỐ_TRẮNG!$L$8+HỆ_SỐ_PHẨM_CHẤT!$K$6)</f>
        <v>1.6</v>
      </c>
      <c r="M16" s="30" t="n">
        <f aca="false">IF(CHỈ_SỐ_TRẮNG!$M$8="","",CHỈ_SỐ_TRẮNG!$M$8+HỆ_SỐ_PHẨM_CHẤT!$L$6)</f>
        <v>0.015</v>
      </c>
      <c r="N16" s="22" t="str">
        <f aca="false">IF(OR(N(I16)&gt;0.1,N(K16)&gt;0.1),"Né/chí mạng vượt 10%","")</f>
        <v/>
      </c>
    </row>
    <row r="17" customFormat="false" ht="15" hidden="false" customHeight="true" outlineLevel="0" collapsed="false">
      <c r="A17" s="22" t="str">
        <f aca="false">NHÂN_VẬT!$A$8</f>
        <v>NV03</v>
      </c>
      <c r="B17" s="22" t="str">
        <f aca="false">IF(NHÂN_VẬT!$B$8="","",NHÂN_VẬT!$B$8)</f>
        <v>HCM-PHỤ KHO VŨ</v>
      </c>
      <c r="C17" s="22" t="str">
        <f aca="false">HỆ_SỐ_PHẨM_CHẤT!$A$7</f>
        <v>Xanh dương</v>
      </c>
      <c r="D17" s="28" t="n">
        <f aca="false">IF(CHỈ_SỐ_TRẮNG!$D$8="","",ROUND(CHỈ_SỐ_TRẮNG!$D$8*HỆ_SỐ_PHẨM_CHẤT!$C$7,0))</f>
        <v>1066</v>
      </c>
      <c r="E17" s="28" t="n">
        <f aca="false">IF(CHỈ_SỐ_TRẮNG!$E$8="","",ROUND(CHỈ_SỐ_TRẮNG!$E$8*HỆ_SỐ_PHẨM_CHẤT!$D$7,0))</f>
        <v>182</v>
      </c>
      <c r="F17" s="28" t="n">
        <f aca="false">IF(CHỈ_SỐ_TRẮNG!$F$8="","",ROUND(CHỈ_SỐ_TRẮNG!$F$8*HỆ_SỐ_PHẨM_CHẤT!$E$7,0))</f>
        <v>47</v>
      </c>
      <c r="G17" s="29" t="n">
        <f aca="false">IF(CHỈ_SỐ_TRẮNG!$G$8="","",CHỈ_SỐ_TRẮNG!$G$8+HỆ_SỐ_PHẨM_CHẤT!$G$7)</f>
        <v>99</v>
      </c>
      <c r="H17" s="29" t="n">
        <f aca="false">IF(CHỈ_SỐ_TRẮNG!$H$8="","",ROUND(CHỈ_SỐ_TRẮNG!$H$8*HỆ_SỐ_PHẨM_CHẤT!$F$7,1))</f>
        <v>13</v>
      </c>
      <c r="I17" s="30" t="n">
        <f aca="false">IF(CHỈ_SỐ_TRẮNG!$I$8="","",CHỈ_SỐ_TRẮNG!$I$8+HỆ_SỐ_PHẨM_CHẤT!$H$7)</f>
        <v>0.04</v>
      </c>
      <c r="J17" s="30" t="n">
        <f aca="false">IF(CHỈ_SỐ_TRẮNG!$J$8="","",CHỈ_SỐ_TRẮNG!$J$8+HỆ_SỐ_PHẨM_CHẤT!$I$7)</f>
        <v>0.05</v>
      </c>
      <c r="K17" s="30" t="n">
        <f aca="false">IF(CHỈ_SỐ_TRẮNG!$K$8="","",CHỈ_SỐ_TRẮNG!$K$8+HỆ_SỐ_PHẨM_CHẤT!$J$7)</f>
        <v>0.07</v>
      </c>
      <c r="L17" s="31" t="n">
        <f aca="false">IF(CHỈ_SỐ_TRẮNG!$L$8="","",CHỈ_SỐ_TRẮNG!$L$8+HỆ_SỐ_PHẨM_CHẤT!$K$7)</f>
        <v>1.65</v>
      </c>
      <c r="M17" s="30" t="n">
        <f aca="false">IF(CHỈ_SỐ_TRẮNG!$M$8="","",CHỈ_SỐ_TRẮNG!$M$8+HỆ_SỐ_PHẨM_CHẤT!$L$7)</f>
        <v>0.02</v>
      </c>
      <c r="N17" s="22" t="str">
        <f aca="false">IF(OR(N(I17)&gt;0.1,N(K17)&gt;0.1),"Né/chí mạng vượt 10%","")</f>
        <v/>
      </c>
    </row>
    <row r="18" customFormat="false" ht="15" hidden="false" customHeight="true" outlineLevel="0" collapsed="false">
      <c r="A18" s="22" t="str">
        <f aca="false">NHÂN_VẬT!$A$8</f>
        <v>NV03</v>
      </c>
      <c r="B18" s="22" t="str">
        <f aca="false">IF(NHÂN_VẬT!$B$8="","",NHÂN_VẬT!$B$8)</f>
        <v>HCM-PHỤ KHO VŨ</v>
      </c>
      <c r="C18" s="22" t="str">
        <f aca="false">HỆ_SỐ_PHẨM_CHẤT!$A$8</f>
        <v>Tím</v>
      </c>
      <c r="D18" s="28" t="n">
        <f aca="false">IF(CHỈ_SỐ_TRẮNG!$D$8="","",ROUND(CHỈ_SỐ_TRẮNG!$D$8*HỆ_SỐ_PHẨM_CHẤT!$C$8,0))</f>
        <v>1230</v>
      </c>
      <c r="E18" s="28" t="n">
        <f aca="false">IF(CHỈ_SỐ_TRẮNG!$E$8="","",ROUND(CHỈ_SỐ_TRẮNG!$E$8*HỆ_SỐ_PHẨM_CHẤT!$D$8,0))</f>
        <v>210</v>
      </c>
      <c r="F18" s="28" t="n">
        <f aca="false">IF(CHỈ_SỐ_TRẮNG!$F$8="","",ROUND(CHỈ_SỐ_TRẮNG!$F$8*HỆ_SỐ_PHẨM_CHẤT!$E$8,0))</f>
        <v>54</v>
      </c>
      <c r="G18" s="29" t="n">
        <f aca="false">IF(CHỈ_SỐ_TRẮNG!$G$8="","",CHỈ_SỐ_TRẮNG!$G$8+HỆ_SỐ_PHẨM_CHẤT!$G$8)</f>
        <v>100</v>
      </c>
      <c r="H18" s="29" t="n">
        <f aca="false">IF(CHỈ_SỐ_TRẮNG!$H$8="","",ROUND(CHỈ_SỐ_TRẮNG!$H$8*HỆ_SỐ_PHẨM_CHẤT!$F$8,1))</f>
        <v>15</v>
      </c>
      <c r="I18" s="30" t="n">
        <f aca="false">IF(CHỈ_SỐ_TRẮNG!$I$8="","",CHỈ_SỐ_TRẮNG!$I$8+HỆ_SỐ_PHẨM_CHẤT!$H$8)</f>
        <v>0.045</v>
      </c>
      <c r="J18" s="30" t="n">
        <f aca="false">IF(CHỈ_SỐ_TRẮNG!$J$8="","",CHỈ_SỐ_TRẮNG!$J$8+HỆ_SỐ_PHẨM_CHẤT!$I$8)</f>
        <v>0.055</v>
      </c>
      <c r="K18" s="30" t="n">
        <f aca="false">IF(CHỈ_SỐ_TRẮNG!$K$8="","",CHỈ_SỐ_TRẮNG!$K$8+HỆ_SỐ_PHẨM_CHẤT!$J$8)</f>
        <v>0.075</v>
      </c>
      <c r="L18" s="31" t="n">
        <f aca="false">IF(CHỈ_SỐ_TRẮNG!$L$8="","",CHỈ_SỐ_TRẮNG!$L$8+HỆ_SỐ_PHẨM_CHẤT!$K$8)</f>
        <v>1.7</v>
      </c>
      <c r="M18" s="30" t="n">
        <f aca="false">IF(CHỈ_SỐ_TRẮNG!$M$8="","",CHỈ_SỐ_TRẮNG!$M$8+HỆ_SỐ_PHẨM_CHẤT!$L$8)</f>
        <v>0.025</v>
      </c>
      <c r="N18" s="22" t="str">
        <f aca="false">IF(OR(N(I18)&gt;0.1,N(K18)&gt;0.1),"Né/chí mạng vượt 10%","")</f>
        <v/>
      </c>
    </row>
    <row r="19" customFormat="false" ht="15" hidden="false" customHeight="true" outlineLevel="0" collapsed="false">
      <c r="A19" s="22" t="str">
        <f aca="false">NHÂN_VẬT!$A$8</f>
        <v>NV03</v>
      </c>
      <c r="B19" s="22" t="str">
        <f aca="false">IF(NHÂN_VẬT!$B$8="","",NHÂN_VẬT!$B$8)</f>
        <v>HCM-PHỤ KHO VŨ</v>
      </c>
      <c r="C19" s="22" t="str">
        <f aca="false">HỆ_SỐ_PHẨM_CHẤT!$A$9</f>
        <v>Đỏ</v>
      </c>
      <c r="D19" s="28" t="n">
        <f aca="false">IF(CHỈ_SỐ_TRẮNG!$D$8="","",ROUND(CHỈ_SỐ_TRẮNG!$D$8*HỆ_SỐ_PHẨM_CHẤT!$C$9,0))</f>
        <v>1435</v>
      </c>
      <c r="E19" s="28" t="n">
        <f aca="false">IF(CHỈ_SỐ_TRẮNG!$E$8="","",ROUND(CHỈ_SỐ_TRẮNG!$E$8*HỆ_SỐ_PHẨM_CHẤT!$D$9,0))</f>
        <v>245</v>
      </c>
      <c r="F19" s="28" t="n">
        <f aca="false">IF(CHỈ_SỐ_TRẮNG!$F$8="","",ROUND(CHỈ_SỐ_TRẮNG!$F$8*HỆ_SỐ_PHẨM_CHẤT!$E$9,0))</f>
        <v>63</v>
      </c>
      <c r="G19" s="29" t="n">
        <f aca="false">IF(CHỈ_SỐ_TRẮNG!$G$8="","",CHỈ_SỐ_TRẮNG!$G$8+HỆ_SỐ_PHẨM_CHẤT!$G$9)</f>
        <v>101</v>
      </c>
      <c r="H19" s="29" t="n">
        <f aca="false">IF(CHỈ_SỐ_TRẮNG!$H$8="","",ROUND(CHỈ_SỐ_TRẮNG!$H$8*HỆ_SỐ_PHẨM_CHẤT!$F$9,1))</f>
        <v>17.5</v>
      </c>
      <c r="I19" s="30" t="n">
        <f aca="false">IF(CHỈ_SỐ_TRẮNG!$I$8="","",CHỈ_SỐ_TRẮNG!$I$8+HỆ_SỐ_PHẨM_CHẤT!$H$9)</f>
        <v>0.05</v>
      </c>
      <c r="J19" s="30" t="n">
        <f aca="false">IF(CHỈ_SỐ_TRẮNG!$J$8="","",CHỈ_SỐ_TRẮNG!$J$8+HỆ_SỐ_PHẨM_CHẤT!$I$9)</f>
        <v>0.06</v>
      </c>
      <c r="K19" s="30" t="n">
        <f aca="false">IF(CHỈ_SỐ_TRẮNG!$K$8="","",CHỈ_SỐ_TRẮNG!$K$8+HỆ_SỐ_PHẨM_CHẤT!$J$9)</f>
        <v>0.08</v>
      </c>
      <c r="L19" s="31" t="n">
        <f aca="false">IF(CHỈ_SỐ_TRẮNG!$L$8="","",CHỈ_SỐ_TRẮNG!$L$8+HỆ_SỐ_PHẨM_CHẤT!$K$9)</f>
        <v>1.75</v>
      </c>
      <c r="M19" s="30" t="n">
        <f aca="false">IF(CHỈ_SỐ_TRẮNG!$M$8="","",CHỈ_SỐ_TRẮNG!$M$8+HỆ_SỐ_PHẨM_CHẤT!$L$9)</f>
        <v>0.03</v>
      </c>
      <c r="N19" s="22" t="str">
        <f aca="false">IF(OR(N(I19)&gt;0.1,N(K19)&gt;0.1),"Né/chí mạng vượt 10%","")</f>
        <v/>
      </c>
    </row>
    <row r="20" customFormat="false" ht="15" hidden="false" customHeight="true" outlineLevel="0" collapsed="false">
      <c r="A20" s="22" t="str">
        <f aca="false">NHÂN_VẬT!$A$9</f>
        <v>NV04</v>
      </c>
      <c r="B20" s="22" t="str">
        <f aca="false">IF(NHÂN_VẬT!$B$9="","",NHÂN_VẬT!$B$9)</f>
        <v>HCM-SALE THẢO</v>
      </c>
      <c r="C20" s="22" t="str">
        <f aca="false">HỆ_SỐ_PHẨM_CHẤT!$A$5</f>
        <v>Trắng</v>
      </c>
      <c r="D20" s="28" t="n">
        <f aca="false">IF(CHỈ_SỐ_TRẮNG!$D$9="","",ROUND(CHỈ_SỐ_TRẮNG!$D$9*HỆ_SỐ_PHẨM_CHẤT!$C$5,0))</f>
        <v>880</v>
      </c>
      <c r="E20" s="28" t="n">
        <f aca="false">IF(CHỈ_SỐ_TRẮNG!$E$9="","",ROUND(CHỈ_SỐ_TRẮNG!$E$9*HỆ_SỐ_PHẨM_CHẤT!$D$5,0))</f>
        <v>130</v>
      </c>
      <c r="F20" s="28" t="n">
        <f aca="false">IF(CHỈ_SỐ_TRẮNG!$F$9="","",ROUND(CHỈ_SỐ_TRẮNG!$F$9*HỆ_SỐ_PHẨM_CHẤT!$E$5,0))</f>
        <v>34</v>
      </c>
      <c r="G20" s="29" t="n">
        <f aca="false">IF(CHỈ_SỐ_TRẮNG!$G$9="","",CHỈ_SỐ_TRẮNG!$G$9+HỆ_SỐ_PHẨM_CHẤT!$G$5)</f>
        <v>101</v>
      </c>
      <c r="H20" s="29" t="n">
        <f aca="false">IF(CHỈ_SỐ_TRẮNG!$H$9="","",ROUND(CHỈ_SỐ_TRẮNG!$H$9*HỆ_SỐ_PHẨM_CHẤT!$F$5,1))</f>
        <v>10</v>
      </c>
      <c r="I20" s="30" t="n">
        <f aca="false">IF(CHỈ_SỐ_TRẮNG!$I$9="","",CHỈ_SỐ_TRẮNG!$I$9+HỆ_SỐ_PHẨM_CHẤT!$H$5)</f>
        <v>0.03</v>
      </c>
      <c r="J20" s="30" t="n">
        <f aca="false">IF(CHỈ_SỐ_TRẮNG!$J$9="","",CHỈ_SỐ_TRẮNG!$J$9+HỆ_SỐ_PHẨM_CHẤT!$I$5)</f>
        <v>0.05</v>
      </c>
      <c r="K20" s="30" t="n">
        <f aca="false">IF(CHỈ_SỐ_TRẮNG!$K$9="","",CHỈ_SỐ_TRẮNG!$K$9+HỆ_SỐ_PHẨM_CHẤT!$J$5)</f>
        <v>0.05</v>
      </c>
      <c r="L20" s="31" t="n">
        <f aca="false">IF(CHỈ_SỐ_TRẮNG!$L$9="","",CHỈ_SỐ_TRẮNG!$L$9+HỆ_SỐ_PHẨM_CHẤT!$K$5)</f>
        <v>1.55</v>
      </c>
      <c r="M20" s="30" t="n">
        <f aca="false">IF(CHỈ_SỐ_TRẮNG!$M$9="","",CHỈ_SỐ_TRẮNG!$M$9+HỆ_SỐ_PHẨM_CHẤT!$L$5)</f>
        <v>0.01</v>
      </c>
      <c r="N20" s="22" t="str">
        <f aca="false">IF(OR(N(I20)&gt;0.1,N(K20)&gt;0.1),"Né/chí mạng vượt 10%","")</f>
        <v/>
      </c>
    </row>
    <row r="21" customFormat="false" ht="15" hidden="false" customHeight="true" outlineLevel="0" collapsed="false">
      <c r="A21" s="22" t="str">
        <f aca="false">NHÂN_VẬT!$A$9</f>
        <v>NV04</v>
      </c>
      <c r="B21" s="22" t="str">
        <f aca="false">IF(NHÂN_VẬT!$B$9="","",NHÂN_VẬT!$B$9)</f>
        <v>HCM-SALE THẢO</v>
      </c>
      <c r="C21" s="22" t="str">
        <f aca="false">HỆ_SỐ_PHẨM_CHẤT!$A$6</f>
        <v>Xanh lá</v>
      </c>
      <c r="D21" s="28" t="n">
        <f aca="false">IF(CHỈ_SỐ_TRẮNG!$D$9="","",ROUND(CHỈ_SỐ_TRẮNG!$D$9*HỆ_SỐ_PHẨM_CHẤT!$C$6,0))</f>
        <v>1012</v>
      </c>
      <c r="E21" s="28" t="n">
        <f aca="false">IF(CHỈ_SỐ_TRẮNG!$E$9="","",ROUND(CHỈ_SỐ_TRẮNG!$E$9*HỆ_SỐ_PHẨM_CHẤT!$D$6,0))</f>
        <v>150</v>
      </c>
      <c r="F21" s="28" t="n">
        <f aca="false">IF(CHỈ_SỐ_TRẮNG!$F$9="","",ROUND(CHỈ_SỐ_TRẮNG!$F$9*HỆ_SỐ_PHẨM_CHẤT!$E$6,0))</f>
        <v>39</v>
      </c>
      <c r="G21" s="29" t="n">
        <f aca="false">IF(CHỈ_SỐ_TRẮNG!$G$9="","",CHỈ_SỐ_TRẮNG!$G$9+HỆ_SỐ_PHẨM_CHẤT!$G$6)</f>
        <v>102</v>
      </c>
      <c r="H21" s="29" t="n">
        <f aca="false">IF(CHỈ_SỐ_TRẮNG!$H$9="","",ROUND(CHỈ_SỐ_TRẮNG!$H$9*HỆ_SỐ_PHẨM_CHẤT!$F$6,1))</f>
        <v>11.5</v>
      </c>
      <c r="I21" s="30" t="n">
        <f aca="false">IF(CHỈ_SỐ_TRẮNG!$I$9="","",CHỈ_SỐ_TRẮNG!$I$9+HỆ_SỐ_PHẨM_CHẤT!$H$6)</f>
        <v>0.035</v>
      </c>
      <c r="J21" s="30" t="n">
        <f aca="false">IF(CHỈ_SỐ_TRẮNG!$J$9="","",CHỈ_SỐ_TRẮNG!$J$9+HỆ_SỐ_PHẨM_CHẤT!$I$6)</f>
        <v>0.055</v>
      </c>
      <c r="K21" s="30" t="n">
        <f aca="false">IF(CHỈ_SỐ_TRẮNG!$K$9="","",CHỈ_SỐ_TRẮNG!$K$9+HỆ_SỐ_PHẨM_CHẤT!$J$6)</f>
        <v>0.055</v>
      </c>
      <c r="L21" s="31" t="n">
        <f aca="false">IF(CHỈ_SỐ_TRẮNG!$L$9="","",CHỈ_SỐ_TRẮNG!$L$9+HỆ_SỐ_PHẨM_CHẤT!$K$6)</f>
        <v>1.55</v>
      </c>
      <c r="M21" s="30" t="n">
        <f aca="false">IF(CHỈ_SỐ_TRẮNG!$M$9="","",CHỈ_SỐ_TRẮNG!$M$9+HỆ_SỐ_PHẨM_CHẤT!$L$6)</f>
        <v>0.015</v>
      </c>
      <c r="N21" s="22" t="str">
        <f aca="false">IF(OR(N(I21)&gt;0.1,N(K21)&gt;0.1),"Né/chí mạng vượt 10%","")</f>
        <v/>
      </c>
    </row>
    <row r="22" customFormat="false" ht="15" hidden="false" customHeight="true" outlineLevel="0" collapsed="false">
      <c r="A22" s="22" t="str">
        <f aca="false">NHÂN_VẬT!$A$9</f>
        <v>NV04</v>
      </c>
      <c r="B22" s="22" t="str">
        <f aca="false">IF(NHÂN_VẬT!$B$9="","",NHÂN_VẬT!$B$9)</f>
        <v>HCM-SALE THẢO</v>
      </c>
      <c r="C22" s="22" t="str">
        <f aca="false">HỆ_SỐ_PHẨM_CHẤT!$A$7</f>
        <v>Xanh dương</v>
      </c>
      <c r="D22" s="28" t="n">
        <f aca="false">IF(CHỈ_SỐ_TRẮNG!$D$9="","",ROUND(CHỈ_SỐ_TRẮNG!$D$9*HỆ_SỐ_PHẨM_CHẤT!$C$7,0))</f>
        <v>1144</v>
      </c>
      <c r="E22" s="28" t="n">
        <f aca="false">IF(CHỈ_SỐ_TRẮNG!$E$9="","",ROUND(CHỈ_SỐ_TRẮNG!$E$9*HỆ_SỐ_PHẨM_CHẤT!$D$7,0))</f>
        <v>169</v>
      </c>
      <c r="F22" s="28" t="n">
        <f aca="false">IF(CHỈ_SỐ_TRẮNG!$F$9="","",ROUND(CHỈ_SỐ_TRẮNG!$F$9*HỆ_SỐ_PHẨM_CHẤT!$E$7,0))</f>
        <v>44</v>
      </c>
      <c r="G22" s="29" t="n">
        <f aca="false">IF(CHỈ_SỐ_TRẮNG!$G$9="","",CHỈ_SỐ_TRẮNG!$G$9+HỆ_SỐ_PHẨM_CHẤT!$G$7)</f>
        <v>103</v>
      </c>
      <c r="H22" s="29" t="n">
        <f aca="false">IF(CHỈ_SỐ_TRẮNG!$H$9="","",ROUND(CHỈ_SỐ_TRẮNG!$H$9*HỆ_SỐ_PHẨM_CHẤT!$F$7,1))</f>
        <v>13</v>
      </c>
      <c r="I22" s="30" t="n">
        <f aca="false">IF(CHỈ_SỐ_TRẮNG!$I$9="","",CHỈ_SỐ_TRẮNG!$I$9+HỆ_SỐ_PHẨM_CHẤT!$H$7)</f>
        <v>0.04</v>
      </c>
      <c r="J22" s="30" t="n">
        <f aca="false">IF(CHỈ_SỐ_TRẮNG!$J$9="","",CHỈ_SỐ_TRẮNG!$J$9+HỆ_SỐ_PHẨM_CHẤT!$I$7)</f>
        <v>0.06</v>
      </c>
      <c r="K22" s="30" t="n">
        <f aca="false">IF(CHỈ_SỐ_TRẮNG!$K$9="","",CHỈ_SỐ_TRẮNG!$K$9+HỆ_SỐ_PHẨM_CHẤT!$J$7)</f>
        <v>0.06</v>
      </c>
      <c r="L22" s="31" t="n">
        <f aca="false">IF(CHỈ_SỐ_TRẮNG!$L$9="","",CHỈ_SỐ_TRẮNG!$L$9+HỆ_SỐ_PHẨM_CHẤT!$K$7)</f>
        <v>1.6</v>
      </c>
      <c r="M22" s="30" t="n">
        <f aca="false">IF(CHỈ_SỐ_TRẮNG!$M$9="","",CHỈ_SỐ_TRẮNG!$M$9+HỆ_SỐ_PHẨM_CHẤT!$L$7)</f>
        <v>0.02</v>
      </c>
      <c r="N22" s="22" t="str">
        <f aca="false">IF(OR(N(I22)&gt;0.1,N(K22)&gt;0.1),"Né/chí mạng vượt 10%","")</f>
        <v/>
      </c>
    </row>
    <row r="23" customFormat="false" ht="15" hidden="false" customHeight="true" outlineLevel="0" collapsed="false">
      <c r="A23" s="22" t="str">
        <f aca="false">NHÂN_VẬT!$A$9</f>
        <v>NV04</v>
      </c>
      <c r="B23" s="22" t="str">
        <f aca="false">IF(NHÂN_VẬT!$B$9="","",NHÂN_VẬT!$B$9)</f>
        <v>HCM-SALE THẢO</v>
      </c>
      <c r="C23" s="22" t="str">
        <f aca="false">HỆ_SỐ_PHẨM_CHẤT!$A$8</f>
        <v>Tím</v>
      </c>
      <c r="D23" s="28" t="n">
        <f aca="false">IF(CHỈ_SỐ_TRẮNG!$D$9="","",ROUND(CHỈ_SỐ_TRẮNG!$D$9*HỆ_SỐ_PHẨM_CHẤT!$C$8,0))</f>
        <v>1320</v>
      </c>
      <c r="E23" s="28" t="n">
        <f aca="false">IF(CHỈ_SỐ_TRẮNG!$E$9="","",ROUND(CHỈ_SỐ_TRẮNG!$E$9*HỆ_SỐ_PHẨM_CHẤT!$D$8,0))</f>
        <v>195</v>
      </c>
      <c r="F23" s="28" t="n">
        <f aca="false">IF(CHỈ_SỐ_TRẮNG!$F$9="","",ROUND(CHỈ_SỐ_TRẮNG!$F$9*HỆ_SỐ_PHẨM_CHẤT!$E$8,0))</f>
        <v>51</v>
      </c>
      <c r="G23" s="29" t="n">
        <f aca="false">IF(CHỈ_SỐ_TRẮNG!$G$9="","",CHỈ_SỐ_TRẮNG!$G$9+HỆ_SỐ_PHẨM_CHẤT!$G$8)</f>
        <v>104</v>
      </c>
      <c r="H23" s="29" t="n">
        <f aca="false">IF(CHỈ_SỐ_TRẮNG!$H$9="","",ROUND(CHỈ_SỐ_TRẮNG!$H$9*HỆ_SỐ_PHẨM_CHẤT!$F$8,1))</f>
        <v>15</v>
      </c>
      <c r="I23" s="30" t="n">
        <f aca="false">IF(CHỈ_SỐ_TRẮNG!$I$9="","",CHỈ_SỐ_TRẮNG!$I$9+HỆ_SỐ_PHẨM_CHẤT!$H$8)</f>
        <v>0.045</v>
      </c>
      <c r="J23" s="30" t="n">
        <f aca="false">IF(CHỈ_SỐ_TRẮNG!$J$9="","",CHỈ_SỐ_TRẮNG!$J$9+HỆ_SỐ_PHẨM_CHẤT!$I$8)</f>
        <v>0.065</v>
      </c>
      <c r="K23" s="30" t="n">
        <f aca="false">IF(CHỈ_SỐ_TRẮNG!$K$9="","",CHỈ_SỐ_TRẮNG!$K$9+HỆ_SỐ_PHẨM_CHẤT!$J$8)</f>
        <v>0.065</v>
      </c>
      <c r="L23" s="31" t="n">
        <f aca="false">IF(CHỈ_SỐ_TRẮNG!$L$9="","",CHỈ_SỐ_TRẮNG!$L$9+HỆ_SỐ_PHẨM_CHẤT!$K$8)</f>
        <v>1.65</v>
      </c>
      <c r="M23" s="30" t="n">
        <f aca="false">IF(CHỈ_SỐ_TRẮNG!$M$9="","",CHỈ_SỐ_TRẮNG!$M$9+HỆ_SỐ_PHẨM_CHẤT!$L$8)</f>
        <v>0.025</v>
      </c>
      <c r="N23" s="22" t="str">
        <f aca="false">IF(OR(N(I23)&gt;0.1,N(K23)&gt;0.1),"Né/chí mạng vượt 10%","")</f>
        <v/>
      </c>
    </row>
    <row r="24" customFormat="false" ht="15" hidden="false" customHeight="true" outlineLevel="0" collapsed="false">
      <c r="A24" s="22" t="str">
        <f aca="false">NHÂN_VẬT!$A$9</f>
        <v>NV04</v>
      </c>
      <c r="B24" s="22" t="str">
        <f aca="false">IF(NHÂN_VẬT!$B$9="","",NHÂN_VẬT!$B$9)</f>
        <v>HCM-SALE THẢO</v>
      </c>
      <c r="C24" s="22" t="str">
        <f aca="false">HỆ_SỐ_PHẨM_CHẤT!$A$9</f>
        <v>Đỏ</v>
      </c>
      <c r="D24" s="28" t="n">
        <f aca="false">IF(CHỈ_SỐ_TRẮNG!$D$9="","",ROUND(CHỈ_SỐ_TRẮNG!$D$9*HỆ_SỐ_PHẨM_CHẤT!$C$9,0))</f>
        <v>1540</v>
      </c>
      <c r="E24" s="28" t="n">
        <f aca="false">IF(CHỈ_SỐ_TRẮNG!$E$9="","",ROUND(CHỈ_SỐ_TRẮNG!$E$9*HỆ_SỐ_PHẨM_CHẤT!$D$9,0))</f>
        <v>228</v>
      </c>
      <c r="F24" s="28" t="n">
        <f aca="false">IF(CHỈ_SỐ_TRẮNG!$F$9="","",ROUND(CHỈ_SỐ_TRẮNG!$F$9*HỆ_SỐ_PHẨM_CHẤT!$E$9,0))</f>
        <v>60</v>
      </c>
      <c r="G24" s="29" t="n">
        <f aca="false">IF(CHỈ_SỐ_TRẮNG!$G$9="","",CHỈ_SỐ_TRẮNG!$G$9+HỆ_SỐ_PHẨM_CHẤT!$G$9)</f>
        <v>105</v>
      </c>
      <c r="H24" s="29" t="n">
        <f aca="false">IF(CHỈ_SỐ_TRẮNG!$H$9="","",ROUND(CHỈ_SỐ_TRẮNG!$H$9*HỆ_SỐ_PHẨM_CHẤT!$F$9,1))</f>
        <v>17.5</v>
      </c>
      <c r="I24" s="30" t="n">
        <f aca="false">IF(CHỈ_SỐ_TRẮNG!$I$9="","",CHỈ_SỐ_TRẮNG!$I$9+HỆ_SỐ_PHẨM_CHẤT!$H$9)</f>
        <v>0.05</v>
      </c>
      <c r="J24" s="30" t="n">
        <f aca="false">IF(CHỈ_SỐ_TRẮNG!$J$9="","",CHỈ_SỐ_TRẮNG!$J$9+HỆ_SỐ_PHẨM_CHẤT!$I$9)</f>
        <v>0.07</v>
      </c>
      <c r="K24" s="30" t="n">
        <f aca="false">IF(CHỈ_SỐ_TRẮNG!$K$9="","",CHỈ_SỐ_TRẮNG!$K$9+HỆ_SỐ_PHẨM_CHẤT!$J$9)</f>
        <v>0.07</v>
      </c>
      <c r="L24" s="31" t="n">
        <f aca="false">IF(CHỈ_SỐ_TRẮNG!$L$9="","",CHỈ_SỐ_TRẮNG!$L$9+HỆ_SỐ_PHẨM_CHẤT!$K$9)</f>
        <v>1.7</v>
      </c>
      <c r="M24" s="30" t="n">
        <f aca="false">IF(CHỈ_SỐ_TRẮNG!$M$9="","",CHỈ_SỐ_TRẮNG!$M$9+HỆ_SỐ_PHẨM_CHẤT!$L$9)</f>
        <v>0.03</v>
      </c>
      <c r="N24" s="22" t="str">
        <f aca="false">IF(OR(N(I24)&gt;0.1,N(K24)&gt;0.1),"Né/chí mạng vượt 10%","")</f>
        <v/>
      </c>
    </row>
    <row r="25" customFormat="false" ht="15" hidden="false" customHeight="true" outlineLevel="0" collapsed="false">
      <c r="A25" s="22" t="str">
        <f aca="false">NHÂN_VẬT!$A$10</f>
        <v>NV05</v>
      </c>
      <c r="B25" s="22" t="str">
        <f aca="false">IF(NHÂN_VẬT!$B$10="","",NHÂN_VẬT!$B$10)</f>
        <v>HCM-SALE DƯƠNG</v>
      </c>
      <c r="C25" s="22" t="str">
        <f aca="false">HỆ_SỐ_PHẨM_CHẤT!$A$5</f>
        <v>Trắng</v>
      </c>
      <c r="D25" s="28" t="n">
        <f aca="false">IF(CHỈ_SỐ_TRẮNG!$D$10="","",ROUND(CHỈ_SỐ_TRẮNG!$D$10*HỆ_SỐ_PHẨM_CHẤT!$C$5,0))</f>
        <v>880</v>
      </c>
      <c r="E25" s="28" t="n">
        <f aca="false">IF(CHỈ_SỐ_TRẮNG!$E$10="","",ROUND(CHỈ_SỐ_TRẮNG!$E$10*HỆ_SỐ_PHẨM_CHẤT!$D$5,0))</f>
        <v>108</v>
      </c>
      <c r="F25" s="28" t="n">
        <f aca="false">IF(CHỈ_SỐ_TRẮNG!$F$10="","",ROUND(CHỈ_SỐ_TRẮNG!$F$10*HỆ_SỐ_PHẨM_CHẤT!$E$5,0))</f>
        <v>36</v>
      </c>
      <c r="G25" s="29" t="n">
        <f aca="false">IF(CHỈ_SỐ_TRẮNG!$G$10="","",CHỈ_SỐ_TRẮNG!$G$10+HỆ_SỐ_PHẨM_CHẤT!$G$5)</f>
        <v>105</v>
      </c>
      <c r="H25" s="29" t="n">
        <f aca="false">IF(CHỈ_SỐ_TRẮNG!$H$10="","",ROUND(CHỈ_SỐ_TRẮNG!$H$10*HỆ_SỐ_PHẨM_CHẤT!$F$5,1))</f>
        <v>12</v>
      </c>
      <c r="I25" s="30" t="n">
        <f aca="false">IF(CHỈ_SỐ_TRẮNG!$I$10="","",CHỈ_SỐ_TRẮNG!$I$10+HỆ_SỐ_PHẨM_CHẤT!$H$5)</f>
        <v>0.04</v>
      </c>
      <c r="J25" s="30" t="n">
        <f aca="false">IF(CHỈ_SỐ_TRẮNG!$J$10="","",CHỈ_SỐ_TRẮNG!$J$10+HỆ_SỐ_PHẨM_CHẤT!$I$5)</f>
        <v>0.04</v>
      </c>
      <c r="K25" s="30" t="n">
        <f aca="false">IF(CHỈ_SỐ_TRẮNG!$K$10="","",CHỈ_SỐ_TRẮNG!$K$10+HỆ_SỐ_PHẨM_CHẤT!$J$5)</f>
        <v>0.04</v>
      </c>
      <c r="L25" s="31" t="n">
        <f aca="false">IF(CHỈ_SỐ_TRẮNG!$L$10="","",CHỈ_SỐ_TRẮNG!$L$10+HỆ_SỐ_PHẨM_CHẤT!$K$5)</f>
        <v>1.5</v>
      </c>
      <c r="M25" s="30" t="n">
        <f aca="false">IF(CHỈ_SỐ_TRẮNG!$M$10="","",CHỈ_SỐ_TRẮNG!$M$10+HỆ_SỐ_PHẨM_CHẤT!$L$5)</f>
        <v>0.02</v>
      </c>
      <c r="N25" s="22" t="str">
        <f aca="false">IF(OR(N(I25)&gt;0.1,N(K25)&gt;0.1),"Né/chí mạng vượt 10%","")</f>
        <v/>
      </c>
    </row>
    <row r="26" customFormat="false" ht="15" hidden="false" customHeight="true" outlineLevel="0" collapsed="false">
      <c r="A26" s="22" t="str">
        <f aca="false">NHÂN_VẬT!$A$10</f>
        <v>NV05</v>
      </c>
      <c r="B26" s="22" t="str">
        <f aca="false">IF(NHÂN_VẬT!$B$10="","",NHÂN_VẬT!$B$10)</f>
        <v>HCM-SALE DƯƠNG</v>
      </c>
      <c r="C26" s="22" t="str">
        <f aca="false">HỆ_SỐ_PHẨM_CHẤT!$A$6</f>
        <v>Xanh lá</v>
      </c>
      <c r="D26" s="28" t="n">
        <f aca="false">IF(CHỈ_SỐ_TRẮNG!$D$10="","",ROUND(CHỈ_SỐ_TRẮNG!$D$10*HỆ_SỐ_PHẨM_CHẤT!$C$6,0))</f>
        <v>1012</v>
      </c>
      <c r="E26" s="28" t="n">
        <f aca="false">IF(CHỈ_SỐ_TRẮNG!$E$10="","",ROUND(CHỈ_SỐ_TRẮNG!$E$10*HỆ_SỐ_PHẨM_CHẤT!$D$6,0))</f>
        <v>124</v>
      </c>
      <c r="F26" s="28" t="n">
        <f aca="false">IF(CHỈ_SỐ_TRẮNG!$F$10="","",ROUND(CHỈ_SỐ_TRẮNG!$F$10*HỆ_SỐ_PHẨM_CHẤT!$E$6,0))</f>
        <v>41</v>
      </c>
      <c r="G26" s="29" t="n">
        <f aca="false">IF(CHỈ_SỐ_TRẮNG!$G$10="","",CHỈ_SỐ_TRẮNG!$G$10+HỆ_SỐ_PHẨM_CHẤT!$G$6)</f>
        <v>106</v>
      </c>
      <c r="H26" s="29" t="n">
        <f aca="false">IF(CHỈ_SỐ_TRẮNG!$H$10="","",ROUND(CHỈ_SỐ_TRẮNG!$H$10*HỆ_SỐ_PHẨM_CHẤT!$F$6,1))</f>
        <v>13.8</v>
      </c>
      <c r="I26" s="30" t="n">
        <f aca="false">IF(CHỈ_SỐ_TRẮNG!$I$10="","",CHỈ_SỐ_TRẮNG!$I$10+HỆ_SỐ_PHẨM_CHẤT!$H$6)</f>
        <v>0.045</v>
      </c>
      <c r="J26" s="30" t="n">
        <f aca="false">IF(CHỈ_SỐ_TRẮNG!$J$10="","",CHỈ_SỐ_TRẮNG!$J$10+HỆ_SỐ_PHẨM_CHẤT!$I$6)</f>
        <v>0.045</v>
      </c>
      <c r="K26" s="30" t="n">
        <f aca="false">IF(CHỈ_SỐ_TRẮNG!$K$10="","",CHỈ_SỐ_TRẮNG!$K$10+HỆ_SỐ_PHẨM_CHẤT!$J$6)</f>
        <v>0.045</v>
      </c>
      <c r="L26" s="31" t="n">
        <f aca="false">IF(CHỈ_SỐ_TRẮNG!$L$10="","",CHỈ_SỐ_TRẮNG!$L$10+HỆ_SỐ_PHẨM_CHẤT!$K$6)</f>
        <v>1.5</v>
      </c>
      <c r="M26" s="30" t="n">
        <f aca="false">IF(CHỈ_SỐ_TRẮNG!$M$10="","",CHỈ_SỐ_TRẮNG!$M$10+HỆ_SỐ_PHẨM_CHẤT!$L$6)</f>
        <v>0.025</v>
      </c>
      <c r="N26" s="22" t="str">
        <f aca="false">IF(OR(N(I26)&gt;0.1,N(K26)&gt;0.1),"Né/chí mạng vượt 10%","")</f>
        <v/>
      </c>
    </row>
    <row r="27" customFormat="false" ht="15" hidden="false" customHeight="true" outlineLevel="0" collapsed="false">
      <c r="A27" s="22" t="str">
        <f aca="false">NHÂN_VẬT!$A$10</f>
        <v>NV05</v>
      </c>
      <c r="B27" s="22" t="str">
        <f aca="false">IF(NHÂN_VẬT!$B$10="","",NHÂN_VẬT!$B$10)</f>
        <v>HCM-SALE DƯƠNG</v>
      </c>
      <c r="C27" s="22" t="str">
        <f aca="false">HỆ_SỐ_PHẨM_CHẤT!$A$7</f>
        <v>Xanh dương</v>
      </c>
      <c r="D27" s="28" t="n">
        <f aca="false">IF(CHỈ_SỐ_TRẮNG!$D$10="","",ROUND(CHỈ_SỐ_TRẮNG!$D$10*HỆ_SỐ_PHẨM_CHẤT!$C$7,0))</f>
        <v>1144</v>
      </c>
      <c r="E27" s="28" t="n">
        <f aca="false">IF(CHỈ_SỐ_TRẮNG!$E$10="","",ROUND(CHỈ_SỐ_TRẮNG!$E$10*HỆ_SỐ_PHẨM_CHẤT!$D$7,0))</f>
        <v>140</v>
      </c>
      <c r="F27" s="28" t="n">
        <f aca="false">IF(CHỈ_SỐ_TRẮNG!$F$10="","",ROUND(CHỈ_SỐ_TRẮNG!$F$10*HỆ_SỐ_PHẨM_CHẤT!$E$7,0))</f>
        <v>47</v>
      </c>
      <c r="G27" s="29" t="n">
        <f aca="false">IF(CHỈ_SỐ_TRẮNG!$G$10="","",CHỈ_SỐ_TRẮNG!$G$10+HỆ_SỐ_PHẨM_CHẤT!$G$7)</f>
        <v>107</v>
      </c>
      <c r="H27" s="29" t="n">
        <f aca="false">IF(CHỈ_SỐ_TRẮNG!$H$10="","",ROUND(CHỈ_SỐ_TRẮNG!$H$10*HỆ_SỐ_PHẨM_CHẤT!$F$7,1))</f>
        <v>15.6</v>
      </c>
      <c r="I27" s="30" t="n">
        <f aca="false">IF(CHỈ_SỐ_TRẮNG!$I$10="","",CHỈ_SỐ_TRẮNG!$I$10+HỆ_SỐ_PHẨM_CHẤT!$H$7)</f>
        <v>0.05</v>
      </c>
      <c r="J27" s="30" t="n">
        <f aca="false">IF(CHỈ_SỐ_TRẮNG!$J$10="","",CHỈ_SỐ_TRẮNG!$J$10+HỆ_SỐ_PHẨM_CHẤT!$I$7)</f>
        <v>0.05</v>
      </c>
      <c r="K27" s="30" t="n">
        <f aca="false">IF(CHỈ_SỐ_TRẮNG!$K$10="","",CHỈ_SỐ_TRẮNG!$K$10+HỆ_SỐ_PHẨM_CHẤT!$J$7)</f>
        <v>0.05</v>
      </c>
      <c r="L27" s="31" t="n">
        <f aca="false">IF(CHỈ_SỐ_TRẮNG!$L$10="","",CHỈ_SỐ_TRẮNG!$L$10+HỆ_SỐ_PHẨM_CHẤT!$K$7)</f>
        <v>1.55</v>
      </c>
      <c r="M27" s="30" t="n">
        <f aca="false">IF(CHỈ_SỐ_TRẮNG!$M$10="","",CHỈ_SỐ_TRẮNG!$M$10+HỆ_SỐ_PHẨM_CHẤT!$L$7)</f>
        <v>0.03</v>
      </c>
      <c r="N27" s="22" t="str">
        <f aca="false">IF(OR(N(I27)&gt;0.1,N(K27)&gt;0.1),"Né/chí mạng vượt 10%","")</f>
        <v/>
      </c>
    </row>
    <row r="28" customFormat="false" ht="15" hidden="false" customHeight="true" outlineLevel="0" collapsed="false">
      <c r="A28" s="22" t="str">
        <f aca="false">NHÂN_VẬT!$A$10</f>
        <v>NV05</v>
      </c>
      <c r="B28" s="22" t="str">
        <f aca="false">IF(NHÂN_VẬT!$B$10="","",NHÂN_VẬT!$B$10)</f>
        <v>HCM-SALE DƯƠNG</v>
      </c>
      <c r="C28" s="22" t="str">
        <f aca="false">HỆ_SỐ_PHẨM_CHẤT!$A$8</f>
        <v>Tím</v>
      </c>
      <c r="D28" s="28" t="n">
        <f aca="false">IF(CHỈ_SỐ_TRẮNG!$D$10="","",ROUND(CHỈ_SỐ_TRẮNG!$D$10*HỆ_SỐ_PHẨM_CHẤT!$C$8,0))</f>
        <v>1320</v>
      </c>
      <c r="E28" s="28" t="n">
        <f aca="false">IF(CHỈ_SỐ_TRẮNG!$E$10="","",ROUND(CHỈ_SỐ_TRẮNG!$E$10*HỆ_SỐ_PHẨM_CHẤT!$D$8,0))</f>
        <v>162</v>
      </c>
      <c r="F28" s="28" t="n">
        <f aca="false">IF(CHỈ_SỐ_TRẮNG!$F$10="","",ROUND(CHỈ_SỐ_TRẮNG!$F$10*HỆ_SỐ_PHẨM_CHẤT!$E$8,0))</f>
        <v>54</v>
      </c>
      <c r="G28" s="29" t="n">
        <f aca="false">IF(CHỈ_SỐ_TRẮNG!$G$10="","",CHỈ_SỐ_TRẮNG!$G$10+HỆ_SỐ_PHẨM_CHẤT!$G$8)</f>
        <v>108</v>
      </c>
      <c r="H28" s="29" t="n">
        <f aca="false">IF(CHỈ_SỐ_TRẮNG!$H$10="","",ROUND(CHỈ_SỐ_TRẮNG!$H$10*HỆ_SỐ_PHẨM_CHẤT!$F$8,1))</f>
        <v>18</v>
      </c>
      <c r="I28" s="30" t="n">
        <f aca="false">IF(CHỈ_SỐ_TRẮNG!$I$10="","",CHỈ_SỐ_TRẮNG!$I$10+HỆ_SỐ_PHẨM_CHẤT!$H$8)</f>
        <v>0.055</v>
      </c>
      <c r="J28" s="30" t="n">
        <f aca="false">IF(CHỈ_SỐ_TRẮNG!$J$10="","",CHỈ_SỐ_TRẮNG!$J$10+HỆ_SỐ_PHẨM_CHẤT!$I$8)</f>
        <v>0.055</v>
      </c>
      <c r="K28" s="30" t="n">
        <f aca="false">IF(CHỈ_SỐ_TRẮNG!$K$10="","",CHỈ_SỐ_TRẮNG!$K$10+HỆ_SỐ_PHẨM_CHẤT!$J$8)</f>
        <v>0.055</v>
      </c>
      <c r="L28" s="31" t="n">
        <f aca="false">IF(CHỈ_SỐ_TRẮNG!$L$10="","",CHỈ_SỐ_TRẮNG!$L$10+HỆ_SỐ_PHẨM_CHẤT!$K$8)</f>
        <v>1.6</v>
      </c>
      <c r="M28" s="30" t="n">
        <f aca="false">IF(CHỈ_SỐ_TRẮNG!$M$10="","",CHỈ_SỐ_TRẮNG!$M$10+HỆ_SỐ_PHẨM_CHẤT!$L$8)</f>
        <v>0.035</v>
      </c>
      <c r="N28" s="22" t="str">
        <f aca="false">IF(OR(N(I28)&gt;0.1,N(K28)&gt;0.1),"Né/chí mạng vượt 10%","")</f>
        <v/>
      </c>
    </row>
    <row r="29" customFormat="false" ht="15" hidden="false" customHeight="true" outlineLevel="0" collapsed="false">
      <c r="A29" s="22" t="str">
        <f aca="false">NHÂN_VẬT!$A$10</f>
        <v>NV05</v>
      </c>
      <c r="B29" s="22" t="str">
        <f aca="false">IF(NHÂN_VẬT!$B$10="","",NHÂN_VẬT!$B$10)</f>
        <v>HCM-SALE DƯƠNG</v>
      </c>
      <c r="C29" s="22" t="str">
        <f aca="false">HỆ_SỐ_PHẨM_CHẤT!$A$9</f>
        <v>Đỏ</v>
      </c>
      <c r="D29" s="28" t="n">
        <f aca="false">IF(CHỈ_SỐ_TRẮNG!$D$10="","",ROUND(CHỈ_SỐ_TRẮNG!$D$10*HỆ_SỐ_PHẨM_CHẤT!$C$9,0))</f>
        <v>1540</v>
      </c>
      <c r="E29" s="28" t="n">
        <f aca="false">IF(CHỈ_SỐ_TRẮNG!$E$10="","",ROUND(CHỈ_SỐ_TRẮNG!$E$10*HỆ_SỐ_PHẨM_CHẤT!$D$9,0))</f>
        <v>189</v>
      </c>
      <c r="F29" s="28" t="n">
        <f aca="false">IF(CHỈ_SỐ_TRẮNG!$F$10="","",ROUND(CHỈ_SỐ_TRẮNG!$F$10*HỆ_SỐ_PHẨM_CHẤT!$E$9,0))</f>
        <v>63</v>
      </c>
      <c r="G29" s="29" t="n">
        <f aca="false">IF(CHỈ_SỐ_TRẮNG!$G$10="","",CHỈ_SỐ_TRẮNG!$G$10+HỆ_SỐ_PHẨM_CHẤT!$G$9)</f>
        <v>109</v>
      </c>
      <c r="H29" s="29" t="n">
        <f aca="false">IF(CHỈ_SỐ_TRẮNG!$H$10="","",ROUND(CHỈ_SỐ_TRẮNG!$H$10*HỆ_SỐ_PHẨM_CHẤT!$F$9,1))</f>
        <v>21</v>
      </c>
      <c r="I29" s="30" t="n">
        <f aca="false">IF(CHỈ_SỐ_TRẮNG!$I$10="","",CHỈ_SỐ_TRẮNG!$I$10+HỆ_SỐ_PHẨM_CHẤT!$H$9)</f>
        <v>0.06</v>
      </c>
      <c r="J29" s="30" t="n">
        <f aca="false">IF(CHỈ_SỐ_TRẮNG!$J$10="","",CHỈ_SỐ_TRẮNG!$J$10+HỆ_SỐ_PHẨM_CHẤT!$I$9)</f>
        <v>0.06</v>
      </c>
      <c r="K29" s="30" t="n">
        <f aca="false">IF(CHỈ_SỐ_TRẮNG!$K$10="","",CHỈ_SỐ_TRẮNG!$K$10+HỆ_SỐ_PHẨM_CHẤT!$J$9)</f>
        <v>0.06</v>
      </c>
      <c r="L29" s="31" t="n">
        <f aca="false">IF(CHỈ_SỐ_TRẮNG!$L$10="","",CHỈ_SỐ_TRẮNG!$L$10+HỆ_SỐ_PHẨM_CHẤT!$K$9)</f>
        <v>1.65</v>
      </c>
      <c r="M29" s="30" t="n">
        <f aca="false">IF(CHỈ_SỐ_TRẮNG!$M$10="","",CHỈ_SỐ_TRẮNG!$M$10+HỆ_SỐ_PHẨM_CHẤT!$L$9)</f>
        <v>0.04</v>
      </c>
      <c r="N29" s="22" t="str">
        <f aca="false">IF(OR(N(I29)&gt;0.1,N(K29)&gt;0.1),"Né/chí mạng vượt 10%","")</f>
        <v/>
      </c>
    </row>
    <row r="30" customFormat="false" ht="15" hidden="false" customHeight="true" outlineLevel="0" collapsed="false">
      <c r="A30" s="22" t="str">
        <f aca="false">NHÂN_VẬT!$A$11</f>
        <v>NV06</v>
      </c>
      <c r="B30" s="22" t="str">
        <f aca="false">IF(NHÂN_VẬT!$B$11="","",NHÂN_VẬT!$B$11)</f>
        <v>HCM-SALE DUYÊN</v>
      </c>
      <c r="C30" s="22" t="str">
        <f aca="false">HỆ_SỐ_PHẨM_CHẤT!$A$5</f>
        <v>Trắng</v>
      </c>
      <c r="D30" s="28" t="n">
        <f aca="false">IF(CHỈ_SỐ_TRẮNG!$D$11="","",ROUND(CHỈ_SỐ_TRẮNG!$D$11*HỆ_SỐ_PHẨM_CHẤT!$C$5,0))</f>
        <v>1000</v>
      </c>
      <c r="E30" s="28" t="n">
        <f aca="false">IF(CHỈ_SỐ_TRẮNG!$E$11="","",ROUND(CHỈ_SỐ_TRẮNG!$E$11*HỆ_SỐ_PHẨM_CHẤT!$D$5,0))</f>
        <v>70</v>
      </c>
      <c r="F30" s="28" t="n">
        <f aca="false">IF(CHỈ_SỐ_TRẮNG!$F$11="","",ROUND(CHỈ_SỐ_TRẮNG!$F$11*HỆ_SỐ_PHẨM_CHẤT!$E$5,0))</f>
        <v>40</v>
      </c>
      <c r="G30" s="29" t="n">
        <f aca="false">IF(CHỈ_SỐ_TRẮNG!$G$11="","",CHỈ_SỐ_TRẮNG!$G$11+HỆ_SỐ_PHẨM_CHẤT!$G$5)</f>
        <v>109</v>
      </c>
      <c r="H30" s="29" t="n">
        <f aca="false">IF(CHỈ_SỐ_TRẮNG!$H$11="","",ROUND(CHỈ_SỐ_TRẮNG!$H$11*HỆ_SỐ_PHẨM_CHẤT!$F$5,1))</f>
        <v>18</v>
      </c>
      <c r="I30" s="30" t="n">
        <f aca="false">IF(CHỈ_SỐ_TRẮNG!$I$11="","",CHỈ_SỐ_TRẮNG!$I$11+HỆ_SỐ_PHẨM_CHẤT!$H$5)</f>
        <v>0.04</v>
      </c>
      <c r="J30" s="30" t="n">
        <f aca="false">IF(CHỈ_SỐ_TRẮNG!$J$11="","",CHỈ_SỐ_TRẮNG!$J$11+HỆ_SỐ_PHẨM_CHẤT!$I$5)</f>
        <v>0.03</v>
      </c>
      <c r="K30" s="30" t="n">
        <f aca="false">IF(CHỈ_SỐ_TRẮNG!$K$11="","",CHỈ_SỐ_TRẮNG!$K$11+HỆ_SỐ_PHẨM_CHẤT!$J$5)</f>
        <v>0.03</v>
      </c>
      <c r="L30" s="31" t="n">
        <f aca="false">IF(CHỈ_SỐ_TRẮNG!$L$11="","",CHỈ_SỐ_TRẮNG!$L$11+HỆ_SỐ_PHẨM_CHẤT!$K$5)</f>
        <v>1.5</v>
      </c>
      <c r="M30" s="30" t="n">
        <f aca="false">IF(CHỈ_SỐ_TRẮNG!$M$11="","",CHỈ_SỐ_TRẮNG!$M$11+HỆ_SỐ_PHẨM_CHẤT!$L$5)</f>
        <v>0.03</v>
      </c>
      <c r="N30" s="22" t="str">
        <f aca="false">IF(OR(N(I30)&gt;0.1,N(K30)&gt;0.1),"Né/chí mạng vượt 10%","")</f>
        <v/>
      </c>
    </row>
    <row r="31" customFormat="false" ht="15" hidden="false" customHeight="true" outlineLevel="0" collapsed="false">
      <c r="A31" s="22" t="str">
        <f aca="false">NHÂN_VẬT!$A$11</f>
        <v>NV06</v>
      </c>
      <c r="B31" s="22" t="str">
        <f aca="false">IF(NHÂN_VẬT!$B$11="","",NHÂN_VẬT!$B$11)</f>
        <v>HCM-SALE DUYÊN</v>
      </c>
      <c r="C31" s="22" t="str">
        <f aca="false">HỆ_SỐ_PHẨM_CHẤT!$A$6</f>
        <v>Xanh lá</v>
      </c>
      <c r="D31" s="28" t="n">
        <f aca="false">IF(CHỈ_SỐ_TRẮNG!$D$11="","",ROUND(CHỈ_SỐ_TRẮNG!$D$11*HỆ_SỐ_PHẨM_CHẤT!$C$6,0))</f>
        <v>1150</v>
      </c>
      <c r="E31" s="28" t="n">
        <f aca="false">IF(CHỈ_SỐ_TRẮNG!$E$11="","",ROUND(CHỈ_SỐ_TRẮNG!$E$11*HỆ_SỐ_PHẨM_CHẤT!$D$6,0))</f>
        <v>81</v>
      </c>
      <c r="F31" s="28" t="n">
        <f aca="false">IF(CHỈ_SỐ_TRẮNG!$F$11="","",ROUND(CHỈ_SỐ_TRẮNG!$F$11*HỆ_SỐ_PHẨM_CHẤT!$E$6,0))</f>
        <v>46</v>
      </c>
      <c r="G31" s="29" t="n">
        <f aca="false">IF(CHỈ_SỐ_TRẮNG!$G$11="","",CHỈ_SỐ_TRẮNG!$G$11+HỆ_SỐ_PHẨM_CHẤT!$G$6)</f>
        <v>110</v>
      </c>
      <c r="H31" s="29" t="n">
        <f aca="false">IF(CHỈ_SỐ_TRẮNG!$H$11="","",ROUND(CHỈ_SỐ_TRẮNG!$H$11*HỆ_SỐ_PHẨM_CHẤT!$F$6,1))</f>
        <v>20.7</v>
      </c>
      <c r="I31" s="30" t="n">
        <f aca="false">IF(CHỈ_SỐ_TRẮNG!$I$11="","",CHỈ_SỐ_TRẮNG!$I$11+HỆ_SỐ_PHẨM_CHẤT!$H$6)</f>
        <v>0.045</v>
      </c>
      <c r="J31" s="30" t="n">
        <f aca="false">IF(CHỈ_SỐ_TRẮNG!$J$11="","",CHỈ_SỐ_TRẮNG!$J$11+HỆ_SỐ_PHẨM_CHẤT!$I$6)</f>
        <v>0.035</v>
      </c>
      <c r="K31" s="30" t="n">
        <f aca="false">IF(CHỈ_SỐ_TRẮNG!$K$11="","",CHỈ_SỐ_TRẮNG!$K$11+HỆ_SỐ_PHẨM_CHẤT!$J$6)</f>
        <v>0.035</v>
      </c>
      <c r="L31" s="31" t="n">
        <f aca="false">IF(CHỈ_SỐ_TRẮNG!$L$11="","",CHỈ_SỐ_TRẮNG!$L$11+HỆ_SỐ_PHẨM_CHẤT!$K$6)</f>
        <v>1.5</v>
      </c>
      <c r="M31" s="30" t="n">
        <f aca="false">IF(CHỈ_SỐ_TRẮNG!$M$11="","",CHỈ_SỐ_TRẮNG!$M$11+HỆ_SỐ_PHẨM_CHẤT!$L$6)</f>
        <v>0.035</v>
      </c>
      <c r="N31" s="22" t="str">
        <f aca="false">IF(OR(N(I31)&gt;0.1,N(K31)&gt;0.1),"Né/chí mạng vượt 10%","")</f>
        <v/>
      </c>
    </row>
    <row r="32" customFormat="false" ht="15" hidden="false" customHeight="true" outlineLevel="0" collapsed="false">
      <c r="A32" s="22" t="str">
        <f aca="false">NHÂN_VẬT!$A$11</f>
        <v>NV06</v>
      </c>
      <c r="B32" s="22" t="str">
        <f aca="false">IF(NHÂN_VẬT!$B$11="","",NHÂN_VẬT!$B$11)</f>
        <v>HCM-SALE DUYÊN</v>
      </c>
      <c r="C32" s="22" t="str">
        <f aca="false">HỆ_SỐ_PHẨM_CHẤT!$A$7</f>
        <v>Xanh dương</v>
      </c>
      <c r="D32" s="28" t="n">
        <f aca="false">IF(CHỈ_SỐ_TRẮNG!$D$11="","",ROUND(CHỈ_SỐ_TRẮNG!$D$11*HỆ_SỐ_PHẨM_CHẤT!$C$7,0))</f>
        <v>1300</v>
      </c>
      <c r="E32" s="28" t="n">
        <f aca="false">IF(CHỈ_SỐ_TRẮNG!$E$11="","",ROUND(CHỈ_SỐ_TRẮNG!$E$11*HỆ_SỐ_PHẨM_CHẤT!$D$7,0))</f>
        <v>91</v>
      </c>
      <c r="F32" s="28" t="n">
        <f aca="false">IF(CHỈ_SỐ_TRẮNG!$F$11="","",ROUND(CHỈ_SỐ_TRẮNG!$F$11*HỆ_SỐ_PHẨM_CHẤT!$E$7,0))</f>
        <v>52</v>
      </c>
      <c r="G32" s="29" t="n">
        <f aca="false">IF(CHỈ_SỐ_TRẮNG!$G$11="","",CHỈ_SỐ_TRẮNG!$G$11+HỆ_SỐ_PHẨM_CHẤT!$G$7)</f>
        <v>111</v>
      </c>
      <c r="H32" s="29" t="n">
        <f aca="false">IF(CHỈ_SỐ_TRẮNG!$H$11="","",ROUND(CHỈ_SỐ_TRẮNG!$H$11*HỆ_SỐ_PHẨM_CHẤT!$F$7,1))</f>
        <v>23.4</v>
      </c>
      <c r="I32" s="30" t="n">
        <f aca="false">IF(CHỈ_SỐ_TRẮNG!$I$11="","",CHỈ_SỐ_TRẮNG!$I$11+HỆ_SỐ_PHẨM_CHẤT!$H$7)</f>
        <v>0.05</v>
      </c>
      <c r="J32" s="30" t="n">
        <f aca="false">IF(CHỈ_SỐ_TRẮNG!$J$11="","",CHỈ_SỐ_TRẮNG!$J$11+HỆ_SỐ_PHẨM_CHẤT!$I$7)</f>
        <v>0.04</v>
      </c>
      <c r="K32" s="30" t="n">
        <f aca="false">IF(CHỈ_SỐ_TRẮNG!$K$11="","",CHỈ_SỐ_TRẮNG!$K$11+HỆ_SỐ_PHẨM_CHẤT!$J$7)</f>
        <v>0.04</v>
      </c>
      <c r="L32" s="31" t="n">
        <f aca="false">IF(CHỈ_SỐ_TRẮNG!$L$11="","",CHỈ_SỐ_TRẮNG!$L$11+HỆ_SỐ_PHẨM_CHẤT!$K$7)</f>
        <v>1.55</v>
      </c>
      <c r="M32" s="30" t="n">
        <f aca="false">IF(CHỈ_SỐ_TRẮNG!$M$11="","",CHỈ_SỐ_TRẮNG!$M$11+HỆ_SỐ_PHẨM_CHẤT!$L$7)</f>
        <v>0.04</v>
      </c>
      <c r="N32" s="22" t="str">
        <f aca="false">IF(OR(N(I32)&gt;0.1,N(K32)&gt;0.1),"Né/chí mạng vượt 10%","")</f>
        <v/>
      </c>
    </row>
    <row r="33" customFormat="false" ht="15" hidden="false" customHeight="true" outlineLevel="0" collapsed="false">
      <c r="A33" s="22" t="str">
        <f aca="false">NHÂN_VẬT!$A$11</f>
        <v>NV06</v>
      </c>
      <c r="B33" s="22" t="str">
        <f aca="false">IF(NHÂN_VẬT!$B$11="","",NHÂN_VẬT!$B$11)</f>
        <v>HCM-SALE DUYÊN</v>
      </c>
      <c r="C33" s="22" t="str">
        <f aca="false">HỆ_SỐ_PHẨM_CHẤT!$A$8</f>
        <v>Tím</v>
      </c>
      <c r="D33" s="28" t="n">
        <f aca="false">IF(CHỈ_SỐ_TRẮNG!$D$11="","",ROUND(CHỈ_SỐ_TRẮNG!$D$11*HỆ_SỐ_PHẨM_CHẤT!$C$8,0))</f>
        <v>1500</v>
      </c>
      <c r="E33" s="28" t="n">
        <f aca="false">IF(CHỈ_SỐ_TRẮNG!$E$11="","",ROUND(CHỈ_SỐ_TRẮNG!$E$11*HỆ_SỐ_PHẨM_CHẤT!$D$8,0))</f>
        <v>105</v>
      </c>
      <c r="F33" s="28" t="n">
        <f aca="false">IF(CHỈ_SỐ_TRẮNG!$F$11="","",ROUND(CHỈ_SỐ_TRẮNG!$F$11*HỆ_SỐ_PHẨM_CHẤT!$E$8,0))</f>
        <v>60</v>
      </c>
      <c r="G33" s="29" t="n">
        <f aca="false">IF(CHỈ_SỐ_TRẮNG!$G$11="","",CHỈ_SỐ_TRẮNG!$G$11+HỆ_SỐ_PHẨM_CHẤT!$G$8)</f>
        <v>112</v>
      </c>
      <c r="H33" s="29" t="n">
        <f aca="false">IF(CHỈ_SỐ_TRẮNG!$H$11="","",ROUND(CHỈ_SỐ_TRẮNG!$H$11*HỆ_SỐ_PHẨM_CHẤT!$F$8,1))</f>
        <v>27</v>
      </c>
      <c r="I33" s="30" t="n">
        <f aca="false">IF(CHỈ_SỐ_TRẮNG!$I$11="","",CHỈ_SỐ_TRẮNG!$I$11+HỆ_SỐ_PHẨM_CHẤT!$H$8)</f>
        <v>0.055</v>
      </c>
      <c r="J33" s="30" t="n">
        <f aca="false">IF(CHỈ_SỐ_TRẮNG!$J$11="","",CHỈ_SỐ_TRẮNG!$J$11+HỆ_SỐ_PHẨM_CHẤT!$I$8)</f>
        <v>0.045</v>
      </c>
      <c r="K33" s="30" t="n">
        <f aca="false">IF(CHỈ_SỐ_TRẮNG!$K$11="","",CHỈ_SỐ_TRẮNG!$K$11+HỆ_SỐ_PHẨM_CHẤT!$J$8)</f>
        <v>0.045</v>
      </c>
      <c r="L33" s="31" t="n">
        <f aca="false">IF(CHỈ_SỐ_TRẮNG!$L$11="","",CHỈ_SỐ_TRẮNG!$L$11+HỆ_SỐ_PHẨM_CHẤT!$K$8)</f>
        <v>1.6</v>
      </c>
      <c r="M33" s="30" t="n">
        <f aca="false">IF(CHỈ_SỐ_TRẮNG!$M$11="","",CHỈ_SỐ_TRẮNG!$M$11+HỆ_SỐ_PHẨM_CHẤT!$L$8)</f>
        <v>0.045</v>
      </c>
      <c r="N33" s="22" t="str">
        <f aca="false">IF(OR(N(I33)&gt;0.1,N(K33)&gt;0.1),"Né/chí mạng vượt 10%","")</f>
        <v/>
      </c>
    </row>
    <row r="34" customFormat="false" ht="15" hidden="false" customHeight="true" outlineLevel="0" collapsed="false">
      <c r="A34" s="22" t="str">
        <f aca="false">NHÂN_VẬT!$A$11</f>
        <v>NV06</v>
      </c>
      <c r="B34" s="22" t="str">
        <f aca="false">IF(NHÂN_VẬT!$B$11="","",NHÂN_VẬT!$B$11)</f>
        <v>HCM-SALE DUYÊN</v>
      </c>
      <c r="C34" s="22" t="str">
        <f aca="false">HỆ_SỐ_PHẨM_CHẤT!$A$9</f>
        <v>Đỏ</v>
      </c>
      <c r="D34" s="28" t="n">
        <f aca="false">IF(CHỈ_SỐ_TRẮNG!$D$11="","",ROUND(CHỈ_SỐ_TRẮNG!$D$11*HỆ_SỐ_PHẨM_CHẤT!$C$9,0))</f>
        <v>1750</v>
      </c>
      <c r="E34" s="28" t="n">
        <f aca="false">IF(CHỈ_SỐ_TRẮNG!$E$11="","",ROUND(CHỈ_SỐ_TRẮNG!$E$11*HỆ_SỐ_PHẨM_CHẤT!$D$9,0))</f>
        <v>123</v>
      </c>
      <c r="F34" s="28" t="n">
        <f aca="false">IF(CHỈ_SỐ_TRẮNG!$F$11="","",ROUND(CHỈ_SỐ_TRẮNG!$F$11*HỆ_SỐ_PHẨM_CHẤT!$E$9,0))</f>
        <v>70</v>
      </c>
      <c r="G34" s="29" t="n">
        <f aca="false">IF(CHỈ_SỐ_TRẮNG!$G$11="","",CHỈ_SỐ_TRẮNG!$G$11+HỆ_SỐ_PHẨM_CHẤT!$G$9)</f>
        <v>113</v>
      </c>
      <c r="H34" s="29" t="n">
        <f aca="false">IF(CHỈ_SỐ_TRẮNG!$H$11="","",ROUND(CHỈ_SỐ_TRẮNG!$H$11*HỆ_SỐ_PHẨM_CHẤT!$F$9,1))</f>
        <v>31.5</v>
      </c>
      <c r="I34" s="30" t="n">
        <f aca="false">IF(CHỈ_SỐ_TRẮNG!$I$11="","",CHỈ_SỐ_TRẮNG!$I$11+HỆ_SỐ_PHẨM_CHẤT!$H$9)</f>
        <v>0.06</v>
      </c>
      <c r="J34" s="30" t="n">
        <f aca="false">IF(CHỈ_SỐ_TRẮNG!$J$11="","",CHỈ_SỐ_TRẮNG!$J$11+HỆ_SỐ_PHẨM_CHẤT!$I$9)</f>
        <v>0.05</v>
      </c>
      <c r="K34" s="30" t="n">
        <f aca="false">IF(CHỈ_SỐ_TRẮNG!$K$11="","",CHỈ_SỐ_TRẮNG!$K$11+HỆ_SỐ_PHẨM_CHẤT!$J$9)</f>
        <v>0.05</v>
      </c>
      <c r="L34" s="31" t="n">
        <f aca="false">IF(CHỈ_SỐ_TRẮNG!$L$11="","",CHỈ_SỐ_TRẮNG!$L$11+HỆ_SỐ_PHẨM_CHẤT!$K$9)</f>
        <v>1.65</v>
      </c>
      <c r="M34" s="30" t="n">
        <f aca="false">IF(CHỈ_SỐ_TRẮNG!$M$11="","",CHỈ_SỐ_TRẮNG!$M$11+HỆ_SỐ_PHẨM_CHẤT!$L$9)</f>
        <v>0.05</v>
      </c>
      <c r="N34" s="22" t="str">
        <f aca="false">IF(OR(N(I34)&gt;0.1,N(K34)&gt;0.1),"Né/chí mạng vượt 10%","")</f>
        <v/>
      </c>
    </row>
    <row r="35" customFormat="false" ht="15" hidden="false" customHeight="true" outlineLevel="0" collapsed="false">
      <c r="A35" s="22" t="str">
        <f aca="false">NHÂN_VẬT!$A$12</f>
        <v>NV07</v>
      </c>
      <c r="B35" s="22" t="str">
        <f aca="false">IF(NHÂN_VẬT!$B$12="","",NHÂN_VẬT!$B$12)</f>
        <v>HCM-KẾ TOÁN THU</v>
      </c>
      <c r="C35" s="22" t="str">
        <f aca="false">HỆ_SỐ_PHẨM_CHẤT!$A$5</f>
        <v>Trắng</v>
      </c>
      <c r="D35" s="28" t="n">
        <f aca="false">IF(CHỈ_SỐ_TRẮNG!$D$12="","",ROUND(CHỈ_SỐ_TRẮNG!$D$12*HỆ_SỐ_PHẨM_CHẤT!$C$5,0))</f>
        <v>950</v>
      </c>
      <c r="E35" s="28" t="n">
        <f aca="false">IF(CHỈ_SỐ_TRẮNG!$E$12="","",ROUND(CHỈ_SỐ_TRẮNG!$E$12*HỆ_SỐ_PHẨM_CHẤT!$D$5,0))</f>
        <v>75</v>
      </c>
      <c r="F35" s="28" t="n">
        <f aca="false">IF(CHỈ_SỐ_TRẮNG!$F$12="","",ROUND(CHỈ_SỐ_TRẮNG!$F$12*HỆ_SỐ_PHẨM_CHẤT!$E$5,0))</f>
        <v>44</v>
      </c>
      <c r="G35" s="29" t="n">
        <f aca="false">IF(CHỈ_SỐ_TRẮNG!$G$12="","",CHỈ_SỐ_TRẮNG!$G$12+HỆ_SỐ_PHẨM_CHẤT!$G$5)</f>
        <v>113</v>
      </c>
      <c r="H35" s="29" t="n">
        <f aca="false">IF(CHỈ_SỐ_TRẮNG!$H$12="","",ROUND(CHỈ_SỐ_TRẮNG!$H$12*HỆ_SỐ_PHẨM_CHẤT!$F$5,1))</f>
        <v>16</v>
      </c>
      <c r="I35" s="30" t="n">
        <f aca="false">IF(CHỈ_SỐ_TRẮNG!$I$12="","",CHỈ_SỐ_TRẮNG!$I$12+HỆ_SỐ_PHẨM_CHẤT!$H$5)</f>
        <v>0.04</v>
      </c>
      <c r="J35" s="30" t="n">
        <f aca="false">IF(CHỈ_SỐ_TRẮNG!$J$12="","",CHỈ_SỐ_TRẮNG!$J$12+HỆ_SỐ_PHẨM_CHẤT!$I$5)</f>
        <v>0.03</v>
      </c>
      <c r="K35" s="30" t="n">
        <f aca="false">IF(CHỈ_SỐ_TRẮNG!$K$12="","",CHỈ_SỐ_TRẮNG!$K$12+HỆ_SỐ_PHẨM_CHẤT!$J$5)</f>
        <v>0.03</v>
      </c>
      <c r="L35" s="31" t="n">
        <f aca="false">IF(CHỈ_SỐ_TRẮNG!$L$12="","",CHỈ_SỐ_TRẮNG!$L$12+HỆ_SỐ_PHẨM_CHẤT!$K$5)</f>
        <v>1.5</v>
      </c>
      <c r="M35" s="30" t="n">
        <f aca="false">IF(CHỈ_SỐ_TRẮNG!$M$12="","",CHỈ_SỐ_TRẮNG!$M$12+HỆ_SỐ_PHẨM_CHẤT!$L$5)</f>
        <v>0.03</v>
      </c>
      <c r="N35" s="22" t="str">
        <f aca="false">IF(OR(N(I35)&gt;0.1,N(K35)&gt;0.1),"Né/chí mạng vượt 10%","")</f>
        <v/>
      </c>
    </row>
    <row r="36" customFormat="false" ht="15" hidden="false" customHeight="true" outlineLevel="0" collapsed="false">
      <c r="A36" s="22" t="str">
        <f aca="false">NHÂN_VẬT!$A$12</f>
        <v>NV07</v>
      </c>
      <c r="B36" s="22" t="str">
        <f aca="false">IF(NHÂN_VẬT!$B$12="","",NHÂN_VẬT!$B$12)</f>
        <v>HCM-KẾ TOÁN THU</v>
      </c>
      <c r="C36" s="22" t="str">
        <f aca="false">HỆ_SỐ_PHẨM_CHẤT!$A$6</f>
        <v>Xanh lá</v>
      </c>
      <c r="D36" s="28" t="n">
        <f aca="false">IF(CHỈ_SỐ_TRẮNG!$D$12="","",ROUND(CHỈ_SỐ_TRẮNG!$D$12*HỆ_SỐ_PHẨM_CHẤT!$C$6,0))</f>
        <v>1093</v>
      </c>
      <c r="E36" s="28" t="n">
        <f aca="false">IF(CHỈ_SỐ_TRẮNG!$E$12="","",ROUND(CHỈ_SỐ_TRẮNG!$E$12*HỆ_SỐ_PHẨM_CHẤT!$D$6,0))</f>
        <v>86</v>
      </c>
      <c r="F36" s="28" t="n">
        <f aca="false">IF(CHỈ_SỐ_TRẮNG!$F$12="","",ROUND(CHỈ_SỐ_TRẮNG!$F$12*HỆ_SỐ_PHẨM_CHẤT!$E$6,0))</f>
        <v>51</v>
      </c>
      <c r="G36" s="29" t="n">
        <f aca="false">IF(CHỈ_SỐ_TRẮNG!$G$12="","",CHỈ_SỐ_TRẮNG!$G$12+HỆ_SỐ_PHẨM_CHẤT!$G$6)</f>
        <v>114</v>
      </c>
      <c r="H36" s="29" t="n">
        <f aca="false">IF(CHỈ_SỐ_TRẮNG!$H$12="","",ROUND(CHỈ_SỐ_TRẮNG!$H$12*HỆ_SỐ_PHẨM_CHẤT!$F$6,1))</f>
        <v>18.4</v>
      </c>
      <c r="I36" s="30" t="n">
        <f aca="false">IF(CHỈ_SỐ_TRẮNG!$I$12="","",CHỈ_SỐ_TRẮNG!$I$12+HỆ_SỐ_PHẨM_CHẤT!$H$6)</f>
        <v>0.045</v>
      </c>
      <c r="J36" s="30" t="n">
        <f aca="false">IF(CHỈ_SỐ_TRẮNG!$J$12="","",CHỈ_SỐ_TRẮNG!$J$12+HỆ_SỐ_PHẨM_CHẤT!$I$6)</f>
        <v>0.035</v>
      </c>
      <c r="K36" s="30" t="n">
        <f aca="false">IF(CHỈ_SỐ_TRẮNG!$K$12="","",CHỈ_SỐ_TRẮNG!$K$12+HỆ_SỐ_PHẨM_CHẤT!$J$6)</f>
        <v>0.035</v>
      </c>
      <c r="L36" s="31" t="n">
        <f aca="false">IF(CHỈ_SỐ_TRẮNG!$L$12="","",CHỈ_SỐ_TRẮNG!$L$12+HỆ_SỐ_PHẨM_CHẤT!$K$6)</f>
        <v>1.5</v>
      </c>
      <c r="M36" s="30" t="n">
        <f aca="false">IF(CHỈ_SỐ_TRẮNG!$M$12="","",CHỈ_SỐ_TRẮNG!$M$12+HỆ_SỐ_PHẨM_CHẤT!$L$6)</f>
        <v>0.035</v>
      </c>
      <c r="N36" s="22" t="str">
        <f aca="false">IF(OR(N(I36)&gt;0.1,N(K36)&gt;0.1),"Né/chí mạng vượt 10%","")</f>
        <v/>
      </c>
    </row>
    <row r="37" customFormat="false" ht="15" hidden="false" customHeight="true" outlineLevel="0" collapsed="false">
      <c r="A37" s="22" t="str">
        <f aca="false">NHÂN_VẬT!$A$12</f>
        <v>NV07</v>
      </c>
      <c r="B37" s="22" t="str">
        <f aca="false">IF(NHÂN_VẬT!$B$12="","",NHÂN_VẬT!$B$12)</f>
        <v>HCM-KẾ TOÁN THU</v>
      </c>
      <c r="C37" s="22" t="str">
        <f aca="false">HỆ_SỐ_PHẨM_CHẤT!$A$7</f>
        <v>Xanh dương</v>
      </c>
      <c r="D37" s="28" t="n">
        <f aca="false">IF(CHỈ_SỐ_TRẮNG!$D$12="","",ROUND(CHỈ_SỐ_TRẮNG!$D$12*HỆ_SỐ_PHẨM_CHẤT!$C$7,0))</f>
        <v>1235</v>
      </c>
      <c r="E37" s="28" t="n">
        <f aca="false">IF(CHỈ_SỐ_TRẮNG!$E$12="","",ROUND(CHỈ_SỐ_TRẮNG!$E$12*HỆ_SỐ_PHẨM_CHẤT!$D$7,0))</f>
        <v>98</v>
      </c>
      <c r="F37" s="28" t="n">
        <f aca="false">IF(CHỈ_SỐ_TRẮNG!$F$12="","",ROUND(CHỈ_SỐ_TRẮNG!$F$12*HỆ_SỐ_PHẨM_CHẤT!$E$7,0))</f>
        <v>57</v>
      </c>
      <c r="G37" s="29" t="n">
        <f aca="false">IF(CHỈ_SỐ_TRẮNG!$G$12="","",CHỈ_SỐ_TRẮNG!$G$12+HỆ_SỐ_PHẨM_CHẤT!$G$7)</f>
        <v>115</v>
      </c>
      <c r="H37" s="29" t="n">
        <f aca="false">IF(CHỈ_SỐ_TRẮNG!$H$12="","",ROUND(CHỈ_SỐ_TRẮNG!$H$12*HỆ_SỐ_PHẨM_CHẤT!$F$7,1))</f>
        <v>20.8</v>
      </c>
      <c r="I37" s="30" t="n">
        <f aca="false">IF(CHỈ_SỐ_TRẮNG!$I$12="","",CHỈ_SỐ_TRẮNG!$I$12+HỆ_SỐ_PHẨM_CHẤT!$H$7)</f>
        <v>0.05</v>
      </c>
      <c r="J37" s="30" t="n">
        <f aca="false">IF(CHỈ_SỐ_TRẮNG!$J$12="","",CHỈ_SỐ_TRẮNG!$J$12+HỆ_SỐ_PHẨM_CHẤT!$I$7)</f>
        <v>0.04</v>
      </c>
      <c r="K37" s="30" t="n">
        <f aca="false">IF(CHỈ_SỐ_TRẮNG!$K$12="","",CHỈ_SỐ_TRẮNG!$K$12+HỆ_SỐ_PHẨM_CHẤT!$J$7)</f>
        <v>0.04</v>
      </c>
      <c r="L37" s="31" t="n">
        <f aca="false">IF(CHỈ_SỐ_TRẮNG!$L$12="","",CHỈ_SỐ_TRẮNG!$L$12+HỆ_SỐ_PHẨM_CHẤT!$K$7)</f>
        <v>1.55</v>
      </c>
      <c r="M37" s="30" t="n">
        <f aca="false">IF(CHỈ_SỐ_TRẮNG!$M$12="","",CHỈ_SỐ_TRẮNG!$M$12+HỆ_SỐ_PHẨM_CHẤT!$L$7)</f>
        <v>0.04</v>
      </c>
      <c r="N37" s="22" t="str">
        <f aca="false">IF(OR(N(I37)&gt;0.1,N(K37)&gt;0.1),"Né/chí mạng vượt 10%","")</f>
        <v/>
      </c>
    </row>
    <row r="38" customFormat="false" ht="15" hidden="false" customHeight="true" outlineLevel="0" collapsed="false">
      <c r="A38" s="22" t="str">
        <f aca="false">NHÂN_VẬT!$A$12</f>
        <v>NV07</v>
      </c>
      <c r="B38" s="22" t="str">
        <f aca="false">IF(NHÂN_VẬT!$B$12="","",NHÂN_VẬT!$B$12)</f>
        <v>HCM-KẾ TOÁN THU</v>
      </c>
      <c r="C38" s="22" t="str">
        <f aca="false">HỆ_SỐ_PHẨM_CHẤT!$A$8</f>
        <v>Tím</v>
      </c>
      <c r="D38" s="28" t="n">
        <f aca="false">IF(CHỈ_SỐ_TRẮNG!$D$12="","",ROUND(CHỈ_SỐ_TRẮNG!$D$12*HỆ_SỐ_PHẨM_CHẤT!$C$8,0))</f>
        <v>1425</v>
      </c>
      <c r="E38" s="28" t="n">
        <f aca="false">IF(CHỈ_SỐ_TRẮNG!$E$12="","",ROUND(CHỈ_SỐ_TRẮNG!$E$12*HỆ_SỐ_PHẨM_CHẤT!$D$8,0))</f>
        <v>113</v>
      </c>
      <c r="F38" s="28" t="n">
        <f aca="false">IF(CHỈ_SỐ_TRẮNG!$F$12="","",ROUND(CHỈ_SỐ_TRẮNG!$F$12*HỆ_SỐ_PHẨM_CHẤT!$E$8,0))</f>
        <v>66</v>
      </c>
      <c r="G38" s="29" t="n">
        <f aca="false">IF(CHỈ_SỐ_TRẮNG!$G$12="","",CHỈ_SỐ_TRẮNG!$G$12+HỆ_SỐ_PHẨM_CHẤT!$G$8)</f>
        <v>116</v>
      </c>
      <c r="H38" s="29" t="n">
        <f aca="false">IF(CHỈ_SỐ_TRẮNG!$H$12="","",ROUND(CHỈ_SỐ_TRẮNG!$H$12*HỆ_SỐ_PHẨM_CHẤT!$F$8,1))</f>
        <v>24</v>
      </c>
      <c r="I38" s="30" t="n">
        <f aca="false">IF(CHỈ_SỐ_TRẮNG!$I$12="","",CHỈ_SỐ_TRẮNG!$I$12+HỆ_SỐ_PHẨM_CHẤT!$H$8)</f>
        <v>0.055</v>
      </c>
      <c r="J38" s="30" t="n">
        <f aca="false">IF(CHỈ_SỐ_TRẮNG!$J$12="","",CHỈ_SỐ_TRẮNG!$J$12+HỆ_SỐ_PHẨM_CHẤT!$I$8)</f>
        <v>0.045</v>
      </c>
      <c r="K38" s="30" t="n">
        <f aca="false">IF(CHỈ_SỐ_TRẮNG!$K$12="","",CHỈ_SỐ_TRẮNG!$K$12+HỆ_SỐ_PHẨM_CHẤT!$J$8)</f>
        <v>0.045</v>
      </c>
      <c r="L38" s="31" t="n">
        <f aca="false">IF(CHỈ_SỐ_TRẮNG!$L$12="","",CHỈ_SỐ_TRẮNG!$L$12+HỆ_SỐ_PHẨM_CHẤT!$K$8)</f>
        <v>1.6</v>
      </c>
      <c r="M38" s="30" t="n">
        <f aca="false">IF(CHỈ_SỐ_TRẮNG!$M$12="","",CHỈ_SỐ_TRẮNG!$M$12+HỆ_SỐ_PHẨM_CHẤT!$L$8)</f>
        <v>0.045</v>
      </c>
      <c r="N38" s="22" t="str">
        <f aca="false">IF(OR(N(I38)&gt;0.1,N(K38)&gt;0.1),"Né/chí mạng vượt 10%","")</f>
        <v/>
      </c>
    </row>
    <row r="39" customFormat="false" ht="15" hidden="false" customHeight="true" outlineLevel="0" collapsed="false">
      <c r="A39" s="22" t="str">
        <f aca="false">NHÂN_VẬT!$A$12</f>
        <v>NV07</v>
      </c>
      <c r="B39" s="22" t="str">
        <f aca="false">IF(NHÂN_VẬT!$B$12="","",NHÂN_VẬT!$B$12)</f>
        <v>HCM-KẾ TOÁN THU</v>
      </c>
      <c r="C39" s="22" t="str">
        <f aca="false">HỆ_SỐ_PHẨM_CHẤT!$A$9</f>
        <v>Đỏ</v>
      </c>
      <c r="D39" s="28" t="n">
        <f aca="false">IF(CHỈ_SỐ_TRẮNG!$D$12="","",ROUND(CHỈ_SỐ_TRẮNG!$D$12*HỆ_SỐ_PHẨM_CHẤT!$C$9,0))</f>
        <v>1663</v>
      </c>
      <c r="E39" s="28" t="n">
        <f aca="false">IF(CHỈ_SỐ_TRẮNG!$E$12="","",ROUND(CHỈ_SỐ_TRẮNG!$E$12*HỆ_SỐ_PHẨM_CHẤT!$D$9,0))</f>
        <v>131</v>
      </c>
      <c r="F39" s="28" t="n">
        <f aca="false">IF(CHỈ_SỐ_TRẮNG!$F$12="","",ROUND(CHỈ_SỐ_TRẮNG!$F$12*HỆ_SỐ_PHẨM_CHẤT!$E$9,0))</f>
        <v>77</v>
      </c>
      <c r="G39" s="29" t="n">
        <f aca="false">IF(CHỈ_SỐ_TRẮNG!$G$12="","",CHỈ_SỐ_TRẮNG!$G$12+HỆ_SỐ_PHẨM_CHẤT!$G$9)</f>
        <v>117</v>
      </c>
      <c r="H39" s="29" t="n">
        <f aca="false">IF(CHỈ_SỐ_TRẮNG!$H$12="","",ROUND(CHỈ_SỐ_TRẮNG!$H$12*HỆ_SỐ_PHẨM_CHẤT!$F$9,1))</f>
        <v>28</v>
      </c>
      <c r="I39" s="30" t="n">
        <f aca="false">IF(CHỈ_SỐ_TRẮNG!$I$12="","",CHỈ_SỐ_TRẮNG!$I$12+HỆ_SỐ_PHẨM_CHẤT!$H$9)</f>
        <v>0.06</v>
      </c>
      <c r="J39" s="30" t="n">
        <f aca="false">IF(CHỈ_SỐ_TRẮNG!$J$12="","",CHỈ_SỐ_TRẮNG!$J$12+HỆ_SỐ_PHẨM_CHẤT!$I$9)</f>
        <v>0.05</v>
      </c>
      <c r="K39" s="30" t="n">
        <f aca="false">IF(CHỈ_SỐ_TRẮNG!$K$12="","",CHỈ_SỐ_TRẮNG!$K$12+HỆ_SỐ_PHẨM_CHẤT!$J$9)</f>
        <v>0.05</v>
      </c>
      <c r="L39" s="31" t="n">
        <f aca="false">IF(CHỈ_SỐ_TRẮNG!$L$12="","",CHỈ_SỐ_TRẮNG!$L$12+HỆ_SỐ_PHẨM_CHẤT!$K$9)</f>
        <v>1.65</v>
      </c>
      <c r="M39" s="30" t="n">
        <f aca="false">IF(CHỈ_SỐ_TRẮNG!$M$12="","",CHỈ_SỐ_TRẮNG!$M$12+HỆ_SỐ_PHẨM_CHẤT!$L$9)</f>
        <v>0.05</v>
      </c>
      <c r="N39" s="22" t="str">
        <f aca="false">IF(OR(N(I39)&gt;0.1,N(K39)&gt;0.1),"Né/chí mạng vượt 10%","")</f>
        <v/>
      </c>
    </row>
    <row r="40" customFormat="false" ht="15" hidden="false" customHeight="true" outlineLevel="0" collapsed="false">
      <c r="A40" s="22" t="str">
        <f aca="false">NHÂN_VẬT!$A$13</f>
        <v>NV08</v>
      </c>
      <c r="B40" s="22" t="str">
        <f aca="false">IF(NHÂN_VẬT!$B$13="","",NHÂN_VẬT!$B$13)</f>
        <v>HCM-SALE NHÂN</v>
      </c>
      <c r="C40" s="22" t="str">
        <f aca="false">HỆ_SỐ_PHẨM_CHẤT!$A$5</f>
        <v>Trắng</v>
      </c>
      <c r="D40" s="28" t="n">
        <f aca="false">IF(CHỈ_SỐ_TRẮNG!$D$13="","",ROUND(CHỈ_SỐ_TRẮNG!$D$13*HỆ_SỐ_PHẨM_CHẤT!$C$5,0))</f>
        <v>760</v>
      </c>
      <c r="E40" s="28" t="n">
        <f aca="false">IF(CHỈ_SỐ_TRẮNG!$E$13="","",ROUND(CHỈ_SỐ_TRẮNG!$E$13*HỆ_SỐ_PHẨM_CHẤT!$D$5,0))</f>
        <v>130</v>
      </c>
      <c r="F40" s="28" t="n">
        <f aca="false">IF(CHỈ_SỐ_TRẮNG!$F$13="","",ROUND(CHỈ_SỐ_TRẮNG!$F$13*HỆ_SỐ_PHẨM_CHẤT!$E$5,0))</f>
        <v>28</v>
      </c>
      <c r="G40" s="29" t="n">
        <f aca="false">IF(CHỈ_SỐ_TRẮNG!$G$13="","",CHỈ_SỐ_TRẮNG!$G$13+HỆ_SỐ_PHẨM_CHẤT!$G$5)</f>
        <v>121</v>
      </c>
      <c r="H40" s="29" t="n">
        <f aca="false">IF(CHỈ_SỐ_TRẮNG!$H$13="","",ROUND(CHỈ_SỐ_TRẮNG!$H$13*HỆ_SỐ_PHẨM_CHẤT!$F$5,1))</f>
        <v>8</v>
      </c>
      <c r="I40" s="30" t="n">
        <f aca="false">IF(CHỈ_SỐ_TRẮNG!$I$13="","",CHỈ_SỐ_TRẮNG!$I$13+HỆ_SỐ_PHẨM_CHẤT!$H$5)</f>
        <v>0.06</v>
      </c>
      <c r="J40" s="30" t="n">
        <f aca="false">IF(CHỈ_SỐ_TRẮNG!$J$13="","",CHỈ_SỐ_TRẮNG!$J$13+HỆ_SỐ_PHẨM_CHẤT!$I$5)</f>
        <v>0.06</v>
      </c>
      <c r="K40" s="30" t="n">
        <f aca="false">IF(CHỈ_SỐ_TRẮNG!$K$13="","",CHỈ_SỐ_TRẮNG!$K$13+HỆ_SỐ_PHẨM_CHẤT!$J$5)</f>
        <v>0.08</v>
      </c>
      <c r="L40" s="31" t="n">
        <f aca="false">IF(CHỈ_SỐ_TRẮNG!$L$13="","",CHỈ_SỐ_TRẮNG!$L$13+HỆ_SỐ_PHẨM_CHẤT!$K$5)</f>
        <v>1.65</v>
      </c>
      <c r="M40" s="30" t="n">
        <f aca="false">IF(CHỈ_SỐ_TRẮNG!$M$13="","",CHỈ_SỐ_TRẮNG!$M$13+HỆ_SỐ_PHẨM_CHẤT!$L$5)</f>
        <v>0</v>
      </c>
      <c r="N40" s="22" t="str">
        <f aca="false">IF(OR(N(I40)&gt;0.1,N(K40)&gt;0.1),"Né/chí mạng vượt 10%","")</f>
        <v/>
      </c>
    </row>
    <row r="41" customFormat="false" ht="15" hidden="false" customHeight="true" outlineLevel="0" collapsed="false">
      <c r="A41" s="22" t="str">
        <f aca="false">NHÂN_VẬT!$A$13</f>
        <v>NV08</v>
      </c>
      <c r="B41" s="22" t="str">
        <f aca="false">IF(NHÂN_VẬT!$B$13="","",NHÂN_VẬT!$B$13)</f>
        <v>HCM-SALE NHÂN</v>
      </c>
      <c r="C41" s="22" t="str">
        <f aca="false">HỆ_SỐ_PHẨM_CHẤT!$A$6</f>
        <v>Xanh lá</v>
      </c>
      <c r="D41" s="28" t="n">
        <f aca="false">IF(CHỈ_SỐ_TRẮNG!$D$13="","",ROUND(CHỈ_SỐ_TRẮNG!$D$13*HỆ_SỐ_PHẨM_CHẤT!$C$6,0))</f>
        <v>874</v>
      </c>
      <c r="E41" s="28" t="n">
        <f aca="false">IF(CHỈ_SỐ_TRẮNG!$E$13="","",ROUND(CHỈ_SỐ_TRẮNG!$E$13*HỆ_SỐ_PHẨM_CHẤT!$D$6,0))</f>
        <v>150</v>
      </c>
      <c r="F41" s="28" t="n">
        <f aca="false">IF(CHỈ_SỐ_TRẮNG!$F$13="","",ROUND(CHỈ_SỐ_TRẮNG!$F$13*HỆ_SỐ_PHẨM_CHẤT!$E$6,0))</f>
        <v>32</v>
      </c>
      <c r="G41" s="29" t="n">
        <f aca="false">IF(CHỈ_SỐ_TRẮNG!$G$13="","",CHỈ_SỐ_TRẮNG!$G$13+HỆ_SỐ_PHẨM_CHẤT!$G$6)</f>
        <v>122</v>
      </c>
      <c r="H41" s="29" t="n">
        <f aca="false">IF(CHỈ_SỐ_TRẮNG!$H$13="","",ROUND(CHỈ_SỐ_TRẮNG!$H$13*HỆ_SỐ_PHẨM_CHẤT!$F$6,1))</f>
        <v>9.2</v>
      </c>
      <c r="I41" s="30" t="n">
        <f aca="false">IF(CHỈ_SỐ_TRẮNG!$I$13="","",CHỈ_SỐ_TRẮNG!$I$13+HỆ_SỐ_PHẨM_CHẤT!$H$6)</f>
        <v>0.065</v>
      </c>
      <c r="J41" s="30" t="n">
        <f aca="false">IF(CHỈ_SỐ_TRẮNG!$J$13="","",CHỈ_SỐ_TRẮNG!$J$13+HỆ_SỐ_PHẨM_CHẤT!$I$6)</f>
        <v>0.065</v>
      </c>
      <c r="K41" s="30" t="n">
        <f aca="false">IF(CHỈ_SỐ_TRẮNG!$K$13="","",CHỈ_SỐ_TRẮNG!$K$13+HỆ_SỐ_PHẨM_CHẤT!$J$6)</f>
        <v>0.085</v>
      </c>
      <c r="L41" s="31" t="n">
        <f aca="false">IF(CHỈ_SỐ_TRẮNG!$L$13="","",CHỈ_SỐ_TRẮNG!$L$13+HỆ_SỐ_PHẨM_CHẤT!$K$6)</f>
        <v>1.65</v>
      </c>
      <c r="M41" s="30" t="n">
        <f aca="false">IF(CHỈ_SỐ_TRẮNG!$M$13="","",CHỈ_SỐ_TRẮNG!$M$13+HỆ_SỐ_PHẨM_CHẤT!$L$6)</f>
        <v>0.005</v>
      </c>
      <c r="N41" s="22" t="str">
        <f aca="false">IF(OR(N(I41)&gt;0.1,N(K41)&gt;0.1),"Né/chí mạng vượt 10%","")</f>
        <v/>
      </c>
    </row>
    <row r="42" customFormat="false" ht="15" hidden="false" customHeight="true" outlineLevel="0" collapsed="false">
      <c r="A42" s="22" t="str">
        <f aca="false">NHÂN_VẬT!$A$13</f>
        <v>NV08</v>
      </c>
      <c r="B42" s="22" t="str">
        <f aca="false">IF(NHÂN_VẬT!$B$13="","",NHÂN_VẬT!$B$13)</f>
        <v>HCM-SALE NHÂN</v>
      </c>
      <c r="C42" s="22" t="str">
        <f aca="false">HỆ_SỐ_PHẨM_CHẤT!$A$7</f>
        <v>Xanh dương</v>
      </c>
      <c r="D42" s="28" t="n">
        <f aca="false">IF(CHỈ_SỐ_TRẮNG!$D$13="","",ROUND(CHỈ_SỐ_TRẮNG!$D$13*HỆ_SỐ_PHẨM_CHẤT!$C$7,0))</f>
        <v>988</v>
      </c>
      <c r="E42" s="28" t="n">
        <f aca="false">IF(CHỈ_SỐ_TRẮNG!$E$13="","",ROUND(CHỈ_SỐ_TRẮNG!$E$13*HỆ_SỐ_PHẨM_CHẤT!$D$7,0))</f>
        <v>169</v>
      </c>
      <c r="F42" s="28" t="n">
        <f aca="false">IF(CHỈ_SỐ_TRẮNG!$F$13="","",ROUND(CHỈ_SỐ_TRẮNG!$F$13*HỆ_SỐ_PHẨM_CHẤT!$E$7,0))</f>
        <v>36</v>
      </c>
      <c r="G42" s="29" t="n">
        <f aca="false">IF(CHỈ_SỐ_TRẮNG!$G$13="","",CHỈ_SỐ_TRẮNG!$G$13+HỆ_SỐ_PHẨM_CHẤT!$G$7)</f>
        <v>123</v>
      </c>
      <c r="H42" s="29" t="n">
        <f aca="false">IF(CHỈ_SỐ_TRẮNG!$H$13="","",ROUND(CHỈ_SỐ_TRẮNG!$H$13*HỆ_SỐ_PHẨM_CHẤT!$F$7,1))</f>
        <v>10.4</v>
      </c>
      <c r="I42" s="30" t="n">
        <f aca="false">IF(CHỈ_SỐ_TRẮNG!$I$13="","",CHỈ_SỐ_TRẮNG!$I$13+HỆ_SỐ_PHẨM_CHẤT!$H$7)</f>
        <v>0.07</v>
      </c>
      <c r="J42" s="30" t="n">
        <f aca="false">IF(CHỈ_SỐ_TRẮNG!$J$13="","",CHỈ_SỐ_TRẮNG!$J$13+HỆ_SỐ_PHẨM_CHẤT!$I$7)</f>
        <v>0.07</v>
      </c>
      <c r="K42" s="30" t="n">
        <f aca="false">IF(CHỈ_SỐ_TRẮNG!$K$13="","",CHỈ_SỐ_TRẮNG!$K$13+HỆ_SỐ_PHẨM_CHẤT!$J$7)</f>
        <v>0.09</v>
      </c>
      <c r="L42" s="31" t="n">
        <f aca="false">IF(CHỈ_SỐ_TRẮNG!$L$13="","",CHỈ_SỐ_TRẮNG!$L$13+HỆ_SỐ_PHẨM_CHẤT!$K$7)</f>
        <v>1.7</v>
      </c>
      <c r="M42" s="30" t="n">
        <f aca="false">IF(CHỈ_SỐ_TRẮNG!$M$13="","",CHỈ_SỐ_TRẮNG!$M$13+HỆ_SỐ_PHẨM_CHẤT!$L$7)</f>
        <v>0.01</v>
      </c>
      <c r="N42" s="22" t="str">
        <f aca="false">IF(OR(N(I42)&gt;0.1,N(K42)&gt;0.1),"Né/chí mạng vượt 10%","")</f>
        <v/>
      </c>
    </row>
    <row r="43" customFormat="false" ht="15" hidden="false" customHeight="true" outlineLevel="0" collapsed="false">
      <c r="A43" s="22" t="str">
        <f aca="false">NHÂN_VẬT!$A$13</f>
        <v>NV08</v>
      </c>
      <c r="B43" s="22" t="str">
        <f aca="false">IF(NHÂN_VẬT!$B$13="","",NHÂN_VẬT!$B$13)</f>
        <v>HCM-SALE NHÂN</v>
      </c>
      <c r="C43" s="22" t="str">
        <f aca="false">HỆ_SỐ_PHẨM_CHẤT!$A$8</f>
        <v>Tím</v>
      </c>
      <c r="D43" s="28" t="n">
        <f aca="false">IF(CHỈ_SỐ_TRẮNG!$D$13="","",ROUND(CHỈ_SỐ_TRẮNG!$D$13*HỆ_SỐ_PHẨM_CHẤT!$C$8,0))</f>
        <v>1140</v>
      </c>
      <c r="E43" s="28" t="n">
        <f aca="false">IF(CHỈ_SỐ_TRẮNG!$E$13="","",ROUND(CHỈ_SỐ_TRẮNG!$E$13*HỆ_SỐ_PHẨM_CHẤT!$D$8,0))</f>
        <v>195</v>
      </c>
      <c r="F43" s="28" t="n">
        <f aca="false">IF(CHỈ_SỐ_TRẮNG!$F$13="","",ROUND(CHỈ_SỐ_TRẮNG!$F$13*HỆ_SỐ_PHẨM_CHẤT!$E$8,0))</f>
        <v>42</v>
      </c>
      <c r="G43" s="29" t="n">
        <f aca="false">IF(CHỈ_SỐ_TRẮNG!$G$13="","",CHỈ_SỐ_TRẮNG!$G$13+HỆ_SỐ_PHẨM_CHẤT!$G$8)</f>
        <v>124</v>
      </c>
      <c r="H43" s="29" t="n">
        <f aca="false">IF(CHỈ_SỐ_TRẮNG!$H$13="","",ROUND(CHỈ_SỐ_TRẮNG!$H$13*HỆ_SỐ_PHẨM_CHẤT!$F$8,1))</f>
        <v>12</v>
      </c>
      <c r="I43" s="30" t="n">
        <f aca="false">IF(CHỈ_SỐ_TRẮNG!$I$13="","",CHỈ_SỐ_TRẮNG!$I$13+HỆ_SỐ_PHẨM_CHẤT!$H$8)</f>
        <v>0.075</v>
      </c>
      <c r="J43" s="30" t="n">
        <f aca="false">IF(CHỈ_SỐ_TRẮNG!$J$13="","",CHỈ_SỐ_TRẮNG!$J$13+HỆ_SỐ_PHẨM_CHẤT!$I$8)</f>
        <v>0.075</v>
      </c>
      <c r="K43" s="30" t="n">
        <f aca="false">IF(CHỈ_SỐ_TRẮNG!$K$13="","",CHỈ_SỐ_TRẮNG!$K$13+HỆ_SỐ_PHẨM_CHẤT!$J$8)</f>
        <v>0.095</v>
      </c>
      <c r="L43" s="31" t="n">
        <f aca="false">IF(CHỈ_SỐ_TRẮNG!$L$13="","",CHỈ_SỐ_TRẮNG!$L$13+HỆ_SỐ_PHẨM_CHẤT!$K$8)</f>
        <v>1.75</v>
      </c>
      <c r="M43" s="30" t="n">
        <f aca="false">IF(CHỈ_SỐ_TRẮNG!$M$13="","",CHỈ_SỐ_TRẮNG!$M$13+HỆ_SỐ_PHẨM_CHẤT!$L$8)</f>
        <v>0.015</v>
      </c>
      <c r="N43" s="22" t="str">
        <f aca="false">IF(OR(N(I43)&gt;0.1,N(K43)&gt;0.1),"Né/chí mạng vượt 10%","")</f>
        <v/>
      </c>
    </row>
    <row r="44" customFormat="false" ht="15" hidden="false" customHeight="true" outlineLevel="0" collapsed="false">
      <c r="A44" s="22" t="str">
        <f aca="false">NHÂN_VẬT!$A$13</f>
        <v>NV08</v>
      </c>
      <c r="B44" s="22" t="str">
        <f aca="false">IF(NHÂN_VẬT!$B$13="","",NHÂN_VẬT!$B$13)</f>
        <v>HCM-SALE NHÂN</v>
      </c>
      <c r="C44" s="22" t="str">
        <f aca="false">HỆ_SỐ_PHẨM_CHẤT!$A$9</f>
        <v>Đỏ</v>
      </c>
      <c r="D44" s="28" t="n">
        <f aca="false">IF(CHỈ_SỐ_TRẮNG!$D$13="","",ROUND(CHỈ_SỐ_TRẮNG!$D$13*HỆ_SỐ_PHẨM_CHẤT!$C$9,0))</f>
        <v>1330</v>
      </c>
      <c r="E44" s="28" t="n">
        <f aca="false">IF(CHỈ_SỐ_TRẮNG!$E$13="","",ROUND(CHỈ_SỐ_TRẮNG!$E$13*HỆ_SỐ_PHẨM_CHẤT!$D$9,0))</f>
        <v>228</v>
      </c>
      <c r="F44" s="28" t="n">
        <f aca="false">IF(CHỈ_SỐ_TRẮNG!$F$13="","",ROUND(CHỈ_SỐ_TRẮNG!$F$13*HỆ_SỐ_PHẨM_CHẤT!$E$9,0))</f>
        <v>49</v>
      </c>
      <c r="G44" s="29" t="n">
        <f aca="false">IF(CHỈ_SỐ_TRẮNG!$G$13="","",CHỈ_SỐ_TRẮNG!$G$13+HỆ_SỐ_PHẨM_CHẤT!$G$9)</f>
        <v>125</v>
      </c>
      <c r="H44" s="29" t="n">
        <f aca="false">IF(CHỈ_SỐ_TRẮNG!$H$13="","",ROUND(CHỈ_SỐ_TRẮNG!$H$13*HỆ_SỐ_PHẨM_CHẤT!$F$9,1))</f>
        <v>14</v>
      </c>
      <c r="I44" s="30" t="n">
        <f aca="false">IF(CHỈ_SỐ_TRẮNG!$I$13="","",CHỈ_SỐ_TRẮNG!$I$13+HỆ_SỐ_PHẨM_CHẤT!$H$9)</f>
        <v>0.08</v>
      </c>
      <c r="J44" s="30" t="n">
        <f aca="false">IF(CHỈ_SỐ_TRẮNG!$J$13="","",CHỈ_SỐ_TRẮNG!$J$13+HỆ_SỐ_PHẨM_CHẤT!$I$9)</f>
        <v>0.08</v>
      </c>
      <c r="K44" s="30" t="n">
        <f aca="false">IF(CHỈ_SỐ_TRẮNG!$K$13="","",CHỈ_SỐ_TRẮNG!$K$13+HỆ_SỐ_PHẨM_CHẤT!$J$9)</f>
        <v>0.1</v>
      </c>
      <c r="L44" s="31" t="n">
        <f aca="false">IF(CHỈ_SỐ_TRẮNG!$L$13="","",CHỈ_SỐ_TRẮNG!$L$13+HỆ_SỐ_PHẨM_CHẤT!$K$9)</f>
        <v>1.8</v>
      </c>
      <c r="M44" s="30" t="n">
        <f aca="false">IF(CHỈ_SỐ_TRẮNG!$M$13="","",CHỈ_SỐ_TRẮNG!$M$13+HỆ_SỐ_PHẨM_CHẤT!$L$9)</f>
        <v>0.02</v>
      </c>
      <c r="N44" s="22" t="str">
        <f aca="false">IF(OR(N(I44)&gt;0.1,N(K44)&gt;0.1),"Né/chí mạng vượt 10%","")</f>
        <v/>
      </c>
    </row>
    <row r="45" customFormat="false" ht="15" hidden="false" customHeight="true" outlineLevel="0" collapsed="false">
      <c r="A45" s="22" t="str">
        <f aca="false">NHÂN_VẬT!$A$14</f>
        <v>NV09</v>
      </c>
      <c r="B45" s="22" t="str">
        <f aca="false">IF(NHÂN_VẬT!$B$14="","",NHÂN_VẬT!$B$14)</f>
        <v>HCM-PHỤ KHO ANH LÂM</v>
      </c>
      <c r="C45" s="22" t="str">
        <f aca="false">HỆ_SỐ_PHẨM_CHẤT!$A$5</f>
        <v>Trắng</v>
      </c>
      <c r="D45" s="28" t="n">
        <f aca="false">IF(CHỈ_SỐ_TRẮNG!$D$14="","",ROUND(CHỈ_SỐ_TRẮNG!$D$14*HỆ_SỐ_PHẨM_CHẤT!$C$5,0))</f>
        <v>1200</v>
      </c>
      <c r="E45" s="28" t="n">
        <f aca="false">IF(CHỈ_SỐ_TRẮNG!$E$14="","",ROUND(CHỈ_SỐ_TRẮNG!$E$14*HỆ_SỐ_PHẨM_CHẤT!$D$5,0))</f>
        <v>90</v>
      </c>
      <c r="F45" s="28" t="n">
        <f aca="false">IF(CHỈ_SỐ_TRẮNG!$F$14="","",ROUND(CHỈ_SỐ_TRẮNG!$F$14*HỆ_SỐ_PHẨM_CHẤT!$E$5,0))</f>
        <v>50</v>
      </c>
      <c r="G45" s="29" t="n">
        <f aca="false">IF(CHỈ_SỐ_TRẮNG!$G$14="","",CHỈ_SỐ_TRẮNG!$G$14+HỆ_SỐ_PHẨM_CHẤT!$G$5)</f>
        <v>85</v>
      </c>
      <c r="H45" s="29" t="n">
        <f aca="false">IF(CHỈ_SỐ_TRẮNG!$H$14="","",ROUND(CHỈ_SỐ_TRẮNG!$H$14*HỆ_SỐ_PHẨM_CHẤT!$F$5,1))</f>
        <v>20</v>
      </c>
      <c r="I45" s="30" t="n">
        <f aca="false">IF(CHỈ_SỐ_TRẮNG!$I$14="","",CHỈ_SỐ_TRẮNG!$I$14+HỆ_SỐ_PHẨM_CHẤT!$H$5)</f>
        <v>0.03</v>
      </c>
      <c r="J45" s="30" t="n">
        <f aca="false">IF(CHỈ_SỐ_TRẮNG!$J$14="","",CHỈ_SỐ_TRẮNG!$J$14+HỆ_SỐ_PHẨM_CHẤT!$I$5)</f>
        <v>0.03</v>
      </c>
      <c r="K45" s="30" t="n">
        <f aca="false">IF(CHỈ_SỐ_TRẮNG!$K$14="","",CHỈ_SỐ_TRẮNG!$K$14+HỆ_SỐ_PHẨM_CHẤT!$J$5)</f>
        <v>0.04</v>
      </c>
      <c r="L45" s="31" t="n">
        <f aca="false">IF(CHỈ_SỐ_TRẮNG!$L$14="","",CHỈ_SỐ_TRẮNG!$L$14+HỆ_SỐ_PHẨM_CHẤT!$K$5)</f>
        <v>1.5</v>
      </c>
      <c r="M45" s="30" t="n">
        <f aca="false">IF(CHỈ_SỐ_TRẮNG!$M$14="","",CHỈ_SỐ_TRẮNG!$M$14+HỆ_SỐ_PHẨM_CHẤT!$L$5)</f>
        <v>0.04</v>
      </c>
      <c r="N45" s="22" t="str">
        <f aca="false">IF(OR(N(I45)&gt;0.1,N(K45)&gt;0.1),"Né/chí mạng vượt 10%","")</f>
        <v/>
      </c>
    </row>
    <row r="46" customFormat="false" ht="15" hidden="false" customHeight="true" outlineLevel="0" collapsed="false">
      <c r="A46" s="22" t="str">
        <f aca="false">NHÂN_VẬT!$A$14</f>
        <v>NV09</v>
      </c>
      <c r="B46" s="22" t="str">
        <f aca="false">IF(NHÂN_VẬT!$B$14="","",NHÂN_VẬT!$B$14)</f>
        <v>HCM-PHỤ KHO ANH LÂM</v>
      </c>
      <c r="C46" s="22" t="str">
        <f aca="false">HỆ_SỐ_PHẨM_CHẤT!$A$6</f>
        <v>Xanh lá</v>
      </c>
      <c r="D46" s="28" t="n">
        <f aca="false">IF(CHỈ_SỐ_TRẮNG!$D$14="","",ROUND(CHỈ_SỐ_TRẮNG!$D$14*HỆ_SỐ_PHẨM_CHẤT!$C$6,0))</f>
        <v>1380</v>
      </c>
      <c r="E46" s="28" t="n">
        <f aca="false">IF(CHỈ_SỐ_TRẮNG!$E$14="","",ROUND(CHỈ_SỐ_TRẮNG!$E$14*HỆ_SỐ_PHẨM_CHẤT!$D$6,0))</f>
        <v>103</v>
      </c>
      <c r="F46" s="28" t="n">
        <f aca="false">IF(CHỈ_SỐ_TRẮNG!$F$14="","",ROUND(CHỈ_SỐ_TRẮNG!$F$14*HỆ_SỐ_PHẨM_CHẤT!$E$6,0))</f>
        <v>57</v>
      </c>
      <c r="G46" s="29" t="n">
        <f aca="false">IF(CHỈ_SỐ_TRẮNG!$G$14="","",CHỈ_SỐ_TRẮNG!$G$14+HỆ_SỐ_PHẨM_CHẤT!$G$6)</f>
        <v>86</v>
      </c>
      <c r="H46" s="29" t="n">
        <f aca="false">IF(CHỈ_SỐ_TRẮNG!$H$14="","",ROUND(CHỈ_SỐ_TRẮNG!$H$14*HỆ_SỐ_PHẨM_CHẤT!$F$6,1))</f>
        <v>23</v>
      </c>
      <c r="I46" s="30" t="n">
        <f aca="false">IF(CHỈ_SỐ_TRẮNG!$I$14="","",CHỈ_SỐ_TRẮNG!$I$14+HỆ_SỐ_PHẨM_CHẤT!$H$6)</f>
        <v>0.035</v>
      </c>
      <c r="J46" s="30" t="n">
        <f aca="false">IF(CHỈ_SỐ_TRẮNG!$J$14="","",CHỈ_SỐ_TRẮNG!$J$14+HỆ_SỐ_PHẨM_CHẤT!$I$6)</f>
        <v>0.035</v>
      </c>
      <c r="K46" s="30" t="n">
        <f aca="false">IF(CHỈ_SỐ_TRẮNG!$K$14="","",CHỈ_SỐ_TRẮNG!$K$14+HỆ_SỐ_PHẨM_CHẤT!$J$6)</f>
        <v>0.045</v>
      </c>
      <c r="L46" s="31" t="n">
        <f aca="false">IF(CHỈ_SỐ_TRẮNG!$L$14="","",CHỈ_SỐ_TRẮNG!$L$14+HỆ_SỐ_PHẨM_CHẤT!$K$6)</f>
        <v>1.5</v>
      </c>
      <c r="M46" s="30" t="n">
        <f aca="false">IF(CHỈ_SỐ_TRẮNG!$M$14="","",CHỈ_SỐ_TRẮNG!$M$14+HỆ_SỐ_PHẨM_CHẤT!$L$6)</f>
        <v>0.045</v>
      </c>
      <c r="N46" s="22" t="str">
        <f aca="false">IF(OR(N(I46)&gt;0.1,N(K46)&gt;0.1),"Né/chí mạng vượt 10%","")</f>
        <v/>
      </c>
    </row>
    <row r="47" customFormat="false" ht="15" hidden="false" customHeight="true" outlineLevel="0" collapsed="false">
      <c r="A47" s="22" t="str">
        <f aca="false">NHÂN_VẬT!$A$14</f>
        <v>NV09</v>
      </c>
      <c r="B47" s="22" t="str">
        <f aca="false">IF(NHÂN_VẬT!$B$14="","",NHÂN_VẬT!$B$14)</f>
        <v>HCM-PHỤ KHO ANH LÂM</v>
      </c>
      <c r="C47" s="22" t="str">
        <f aca="false">HỆ_SỐ_PHẨM_CHẤT!$A$7</f>
        <v>Xanh dương</v>
      </c>
      <c r="D47" s="28" t="n">
        <f aca="false">IF(CHỈ_SỐ_TRẮNG!$D$14="","",ROUND(CHỈ_SỐ_TRẮNG!$D$14*HỆ_SỐ_PHẨM_CHẤT!$C$7,0))</f>
        <v>1560</v>
      </c>
      <c r="E47" s="28" t="n">
        <f aca="false">IF(CHỈ_SỐ_TRẮNG!$E$14="","",ROUND(CHỈ_SỐ_TRẮNG!$E$14*HỆ_SỐ_PHẨM_CHẤT!$D$7,0))</f>
        <v>117</v>
      </c>
      <c r="F47" s="28" t="n">
        <f aca="false">IF(CHỈ_SỐ_TRẮNG!$F$14="","",ROUND(CHỈ_SỐ_TRẮNG!$F$14*HỆ_SỐ_PHẨM_CHẤT!$E$7,0))</f>
        <v>65</v>
      </c>
      <c r="G47" s="29" t="n">
        <f aca="false">IF(CHỈ_SỐ_TRẮNG!$G$14="","",CHỈ_SỐ_TRẮNG!$G$14+HỆ_SỐ_PHẨM_CHẤT!$G$7)</f>
        <v>87</v>
      </c>
      <c r="H47" s="29" t="n">
        <f aca="false">IF(CHỈ_SỐ_TRẮNG!$H$14="","",ROUND(CHỈ_SỐ_TRẮNG!$H$14*HỆ_SỐ_PHẨM_CHẤT!$F$7,1))</f>
        <v>26</v>
      </c>
      <c r="I47" s="30" t="n">
        <f aca="false">IF(CHỈ_SỐ_TRẮNG!$I$14="","",CHỈ_SỐ_TRẮNG!$I$14+HỆ_SỐ_PHẨM_CHẤT!$H$7)</f>
        <v>0.04</v>
      </c>
      <c r="J47" s="30" t="n">
        <f aca="false">IF(CHỈ_SỐ_TRẮNG!$J$14="","",CHỈ_SỐ_TRẮNG!$J$14+HỆ_SỐ_PHẨM_CHẤT!$I$7)</f>
        <v>0.04</v>
      </c>
      <c r="K47" s="30" t="n">
        <f aca="false">IF(CHỈ_SỐ_TRẮNG!$K$14="","",CHỈ_SỐ_TRẮNG!$K$14+HỆ_SỐ_PHẨM_CHẤT!$J$7)</f>
        <v>0.05</v>
      </c>
      <c r="L47" s="31" t="n">
        <f aca="false">IF(CHỈ_SỐ_TRẮNG!$L$14="","",CHỈ_SỐ_TRẮNG!$L$14+HỆ_SỐ_PHẨM_CHẤT!$K$7)</f>
        <v>1.55</v>
      </c>
      <c r="M47" s="30" t="n">
        <f aca="false">IF(CHỈ_SỐ_TRẮNG!$M$14="","",CHỈ_SỐ_TRẮNG!$M$14+HỆ_SỐ_PHẨM_CHẤT!$L$7)</f>
        <v>0.05</v>
      </c>
      <c r="N47" s="22" t="str">
        <f aca="false">IF(OR(N(I47)&gt;0.1,N(K47)&gt;0.1),"Né/chí mạng vượt 10%","")</f>
        <v/>
      </c>
    </row>
    <row r="48" customFormat="false" ht="15" hidden="false" customHeight="true" outlineLevel="0" collapsed="false">
      <c r="A48" s="22" t="str">
        <f aca="false">NHÂN_VẬT!$A$14</f>
        <v>NV09</v>
      </c>
      <c r="B48" s="22" t="str">
        <f aca="false">IF(NHÂN_VẬT!$B$14="","",NHÂN_VẬT!$B$14)</f>
        <v>HCM-PHỤ KHO ANH LÂM</v>
      </c>
      <c r="C48" s="22" t="str">
        <f aca="false">HỆ_SỐ_PHẨM_CHẤT!$A$8</f>
        <v>Tím</v>
      </c>
      <c r="D48" s="28" t="n">
        <f aca="false">IF(CHỈ_SỐ_TRẮNG!$D$14="","",ROUND(CHỈ_SỐ_TRẮNG!$D$14*HỆ_SỐ_PHẨM_CHẤT!$C$8,0))</f>
        <v>1800</v>
      </c>
      <c r="E48" s="28" t="n">
        <f aca="false">IF(CHỈ_SỐ_TRẮNG!$E$14="","",ROUND(CHỈ_SỐ_TRẮNG!$E$14*HỆ_SỐ_PHẨM_CHẤT!$D$8,0))</f>
        <v>135</v>
      </c>
      <c r="F48" s="28" t="n">
        <f aca="false">IF(CHỈ_SỐ_TRẮNG!$F$14="","",ROUND(CHỈ_SỐ_TRẮNG!$F$14*HỆ_SỐ_PHẨM_CHẤT!$E$8,0))</f>
        <v>75</v>
      </c>
      <c r="G48" s="29" t="n">
        <f aca="false">IF(CHỈ_SỐ_TRẮNG!$G$14="","",CHỈ_SỐ_TRẮNG!$G$14+HỆ_SỐ_PHẨM_CHẤT!$G$8)</f>
        <v>88</v>
      </c>
      <c r="H48" s="29" t="n">
        <f aca="false">IF(CHỈ_SỐ_TRẮNG!$H$14="","",ROUND(CHỈ_SỐ_TRẮNG!$H$14*HỆ_SỐ_PHẨM_CHẤT!$F$8,1))</f>
        <v>30</v>
      </c>
      <c r="I48" s="30" t="n">
        <f aca="false">IF(CHỈ_SỐ_TRẮNG!$I$14="","",CHỈ_SỐ_TRẮNG!$I$14+HỆ_SỐ_PHẨM_CHẤT!$H$8)</f>
        <v>0.045</v>
      </c>
      <c r="J48" s="30" t="n">
        <f aca="false">IF(CHỈ_SỐ_TRẮNG!$J$14="","",CHỈ_SỐ_TRẮNG!$J$14+HỆ_SỐ_PHẨM_CHẤT!$I$8)</f>
        <v>0.045</v>
      </c>
      <c r="K48" s="30" t="n">
        <f aca="false">IF(CHỈ_SỐ_TRẮNG!$K$14="","",CHỈ_SỐ_TRẮNG!$K$14+HỆ_SỐ_PHẨM_CHẤT!$J$8)</f>
        <v>0.055</v>
      </c>
      <c r="L48" s="31" t="n">
        <f aca="false">IF(CHỈ_SỐ_TRẮNG!$L$14="","",CHỈ_SỐ_TRẮNG!$L$14+HỆ_SỐ_PHẨM_CHẤT!$K$8)</f>
        <v>1.6</v>
      </c>
      <c r="M48" s="30" t="n">
        <f aca="false">IF(CHỈ_SỐ_TRẮNG!$M$14="","",CHỈ_SỐ_TRẮNG!$M$14+HỆ_SỐ_PHẨM_CHẤT!$L$8)</f>
        <v>0.055</v>
      </c>
      <c r="N48" s="22" t="str">
        <f aca="false">IF(OR(N(I48)&gt;0.1,N(K48)&gt;0.1),"Né/chí mạng vượt 10%","")</f>
        <v/>
      </c>
    </row>
    <row r="49" customFormat="false" ht="15" hidden="false" customHeight="true" outlineLevel="0" collapsed="false">
      <c r="A49" s="22" t="str">
        <f aca="false">NHÂN_VẬT!$A$14</f>
        <v>NV09</v>
      </c>
      <c r="B49" s="22" t="str">
        <f aca="false">IF(NHÂN_VẬT!$B$14="","",NHÂN_VẬT!$B$14)</f>
        <v>HCM-PHỤ KHO ANH LÂM</v>
      </c>
      <c r="C49" s="22" t="str">
        <f aca="false">HỆ_SỐ_PHẨM_CHẤT!$A$9</f>
        <v>Đỏ</v>
      </c>
      <c r="D49" s="28" t="n">
        <f aca="false">IF(CHỈ_SỐ_TRẮNG!$D$14="","",ROUND(CHỈ_SỐ_TRẮNG!$D$14*HỆ_SỐ_PHẨM_CHẤT!$C$9,0))</f>
        <v>2100</v>
      </c>
      <c r="E49" s="28" t="n">
        <f aca="false">IF(CHỈ_SỐ_TRẮNG!$E$14="","",ROUND(CHỈ_SỐ_TRẮNG!$E$14*HỆ_SỐ_PHẨM_CHẤT!$D$9,0))</f>
        <v>158</v>
      </c>
      <c r="F49" s="28" t="n">
        <f aca="false">IF(CHỈ_SỐ_TRẮNG!$F$14="","",ROUND(CHỈ_SỐ_TRẮNG!$F$14*HỆ_SỐ_PHẨM_CHẤT!$E$9,0))</f>
        <v>88</v>
      </c>
      <c r="G49" s="29" t="n">
        <f aca="false">IF(CHỈ_SỐ_TRẮNG!$G$14="","",CHỈ_SỐ_TRẮNG!$G$14+HỆ_SỐ_PHẨM_CHẤT!$G$9)</f>
        <v>89</v>
      </c>
      <c r="H49" s="29" t="n">
        <f aca="false">IF(CHỈ_SỐ_TRẮNG!$H$14="","",ROUND(CHỈ_SỐ_TRẮNG!$H$14*HỆ_SỐ_PHẨM_CHẤT!$F$9,1))</f>
        <v>35</v>
      </c>
      <c r="I49" s="30" t="n">
        <f aca="false">IF(CHỈ_SỐ_TRẮNG!$I$14="","",CHỈ_SỐ_TRẮNG!$I$14+HỆ_SỐ_PHẨM_CHẤT!$H$9)</f>
        <v>0.05</v>
      </c>
      <c r="J49" s="30" t="n">
        <f aca="false">IF(CHỈ_SỐ_TRẮNG!$J$14="","",CHỈ_SỐ_TRẮNG!$J$14+HỆ_SỐ_PHẨM_CHẤT!$I$9)</f>
        <v>0.05</v>
      </c>
      <c r="K49" s="30" t="n">
        <f aca="false">IF(CHỈ_SỐ_TRẮNG!$K$14="","",CHỈ_SỐ_TRẮNG!$K$14+HỆ_SỐ_PHẨM_CHẤT!$J$9)</f>
        <v>0.06</v>
      </c>
      <c r="L49" s="31" t="n">
        <f aca="false">IF(CHỈ_SỐ_TRẮNG!$L$14="","",CHỈ_SỐ_TRẮNG!$L$14+HỆ_SỐ_PHẨM_CHẤT!$K$9)</f>
        <v>1.65</v>
      </c>
      <c r="M49" s="30" t="n">
        <f aca="false">IF(CHỈ_SỐ_TRẮNG!$M$14="","",CHỈ_SỐ_TRẮNG!$M$14+HỆ_SỐ_PHẨM_CHẤT!$L$9)</f>
        <v>0.06</v>
      </c>
      <c r="N49" s="22" t="str">
        <f aca="false">IF(OR(N(I49)&gt;0.1,N(K49)&gt;0.1),"Né/chí mạng vượt 10%","")</f>
        <v/>
      </c>
    </row>
    <row r="50" customFormat="false" ht="15" hidden="false" customHeight="true" outlineLevel="0" collapsed="false">
      <c r="A50" s="22" t="str">
        <f aca="false">NHÂN_VẬT!$A$15</f>
        <v>NV11</v>
      </c>
      <c r="B50" s="22" t="str">
        <f aca="false">IF(NHÂN_VẬT!$B$15="","",NHÂN_VẬT!$B$15)</f>
        <v>HCM- BÍCH THÍCH CHAN</v>
      </c>
      <c r="C50" s="22" t="str">
        <f aca="false">HỆ_SỐ_PHẨM_CHẤT!$A$5</f>
        <v>Trắng</v>
      </c>
      <c r="D50" s="28" t="n">
        <f aca="false">IF(CHỈ_SỐ_TRẮNG!$D$15="","",ROUND(CHỈ_SỐ_TRẮNG!$D$15*HỆ_SỐ_PHẨM_CHẤT!$C$5,0))</f>
        <v>900</v>
      </c>
      <c r="E50" s="28" t="n">
        <f aca="false">IF(CHỈ_SỐ_TRẮNG!$E$15="","",ROUND(CHỈ_SỐ_TRẮNG!$E$15*HỆ_SỐ_PHẨM_CHẤT!$D$5,0))</f>
        <v>85</v>
      </c>
      <c r="F50" s="28" t="n">
        <f aca="false">IF(CHỈ_SỐ_TRẮNG!$F$15="","",ROUND(CHỈ_SỐ_TRẮNG!$F$15*HỆ_SỐ_PHẨM_CHẤT!$E$5,0))</f>
        <v>38</v>
      </c>
      <c r="G50" s="29" t="n">
        <f aca="false">IF(CHỈ_SỐ_TRẮNG!$G$15="","",CHỈ_SỐ_TRẮNG!$G$15+HỆ_SỐ_PHẨM_CHẤT!$G$5)</f>
        <v>117</v>
      </c>
      <c r="H50" s="29" t="n">
        <f aca="false">IF(CHỈ_SỐ_TRẮNG!$H$15="","",ROUND(CHỈ_SỐ_TRẮNG!$H$15*HỆ_SỐ_PHẨM_CHẤT!$F$5,1))</f>
        <v>14</v>
      </c>
      <c r="I50" s="30" t="n">
        <f aca="false">IF(CHỈ_SỐ_TRẮNG!$I$15="","",CHỈ_SỐ_TRẮNG!$I$15+HỆ_SỐ_PHẨM_CHẤT!$H$5)</f>
        <v>0.04</v>
      </c>
      <c r="J50" s="30" t="n">
        <f aca="false">IF(CHỈ_SỐ_TRẮNG!$J$15="","",CHỈ_SỐ_TRẮNG!$J$15+HỆ_SỐ_PHẨM_CHẤT!$I$5)</f>
        <v>0.04</v>
      </c>
      <c r="K50" s="30" t="n">
        <f aca="false">IF(CHỈ_SỐ_TRẮNG!$K$15="","",CHỈ_SỐ_TRẮNG!$K$15+HỆ_SỐ_PHẨM_CHẤT!$J$5)</f>
        <v>0.04</v>
      </c>
      <c r="L50" s="31" t="n">
        <f aca="false">IF(CHỈ_SỐ_TRẮNG!$L$15="","",CHỈ_SỐ_TRẮNG!$L$15+HỆ_SỐ_PHẨM_CHẤT!$K$5)</f>
        <v>1.5</v>
      </c>
      <c r="M50" s="30" t="n">
        <f aca="false">IF(CHỈ_SỐ_TRẮNG!$M$15="","",CHỈ_SỐ_TRẮNG!$M$15+HỆ_SỐ_PHẨM_CHẤT!$L$5)</f>
        <v>0.02</v>
      </c>
      <c r="N50" s="22" t="str">
        <f aca="false">IF(OR(N(I50)&gt;0.1,N(K50)&gt;0.1),"Né/chí mạng vượt 10%","")</f>
        <v/>
      </c>
    </row>
    <row r="51" customFormat="false" ht="15" hidden="false" customHeight="true" outlineLevel="0" collapsed="false">
      <c r="A51" s="22" t="str">
        <f aca="false">NHÂN_VẬT!$A$15</f>
        <v>NV11</v>
      </c>
      <c r="B51" s="22" t="str">
        <f aca="false">IF(NHÂN_VẬT!$B$15="","",NHÂN_VẬT!$B$15)</f>
        <v>HCM- BÍCH THÍCH CHAN</v>
      </c>
      <c r="C51" s="22" t="str">
        <f aca="false">HỆ_SỐ_PHẨM_CHẤT!$A$6</f>
        <v>Xanh lá</v>
      </c>
      <c r="D51" s="28" t="n">
        <f aca="false">IF(CHỈ_SỐ_TRẮNG!$D$15="","",ROUND(CHỈ_SỐ_TRẮNG!$D$15*HỆ_SỐ_PHẨM_CHẤT!$C$6,0))</f>
        <v>1035</v>
      </c>
      <c r="E51" s="28" t="n">
        <f aca="false">IF(CHỈ_SỐ_TRẮNG!$E$15="","",ROUND(CHỈ_SỐ_TRẮNG!$E$15*HỆ_SỐ_PHẨM_CHẤT!$D$6,0))</f>
        <v>98</v>
      </c>
      <c r="F51" s="28" t="n">
        <f aca="false">IF(CHỈ_SỐ_TRẮNG!$F$15="","",ROUND(CHỈ_SỐ_TRẮNG!$F$15*HỆ_SỐ_PHẨM_CHẤT!$E$6,0))</f>
        <v>44</v>
      </c>
      <c r="G51" s="29" t="n">
        <f aca="false">IF(CHỈ_SỐ_TRẮNG!$G$15="","",CHỈ_SỐ_TRẮNG!$G$15+HỆ_SỐ_PHẨM_CHẤT!$G$6)</f>
        <v>118</v>
      </c>
      <c r="H51" s="29" t="n">
        <f aca="false">IF(CHỈ_SỐ_TRẮNG!$H$15="","",ROUND(CHỈ_SỐ_TRẮNG!$H$15*HỆ_SỐ_PHẨM_CHẤT!$F$6,1))</f>
        <v>16.1</v>
      </c>
      <c r="I51" s="30" t="n">
        <f aca="false">IF(CHỈ_SỐ_TRẮNG!$I$15="","",CHỈ_SỐ_TRẮNG!$I$15+HỆ_SỐ_PHẨM_CHẤT!$H$6)</f>
        <v>0.045</v>
      </c>
      <c r="J51" s="30" t="n">
        <f aca="false">IF(CHỈ_SỐ_TRẮNG!$J$15="","",CHỈ_SỐ_TRẮNG!$J$15+HỆ_SỐ_PHẨM_CHẤT!$I$6)</f>
        <v>0.045</v>
      </c>
      <c r="K51" s="30" t="n">
        <f aca="false">IF(CHỈ_SỐ_TRẮNG!$K$15="","",CHỈ_SỐ_TRẮNG!$K$15+HỆ_SỐ_PHẨM_CHẤT!$J$6)</f>
        <v>0.045</v>
      </c>
      <c r="L51" s="31" t="n">
        <f aca="false">IF(CHỈ_SỐ_TRẮNG!$L$15="","",CHỈ_SỐ_TRẮNG!$L$15+HỆ_SỐ_PHẨM_CHẤT!$K$6)</f>
        <v>1.5</v>
      </c>
      <c r="M51" s="30" t="n">
        <f aca="false">IF(CHỈ_SỐ_TRẮNG!$M$15="","",CHỈ_SỐ_TRẮNG!$M$15+HỆ_SỐ_PHẨM_CHẤT!$L$6)</f>
        <v>0.025</v>
      </c>
      <c r="N51" s="22" t="str">
        <f aca="false">IF(OR(N(I51)&gt;0.1,N(K51)&gt;0.1),"Né/chí mạng vượt 10%","")</f>
        <v/>
      </c>
    </row>
    <row r="52" customFormat="false" ht="15" hidden="false" customHeight="true" outlineLevel="0" collapsed="false">
      <c r="A52" s="22" t="str">
        <f aca="false">NHÂN_VẬT!$A$15</f>
        <v>NV11</v>
      </c>
      <c r="B52" s="22" t="str">
        <f aca="false">IF(NHÂN_VẬT!$B$15="","",NHÂN_VẬT!$B$15)</f>
        <v>HCM- BÍCH THÍCH CHAN</v>
      </c>
      <c r="C52" s="22" t="str">
        <f aca="false">HỆ_SỐ_PHẨM_CHẤT!$A$7</f>
        <v>Xanh dương</v>
      </c>
      <c r="D52" s="28" t="n">
        <f aca="false">IF(CHỈ_SỐ_TRẮNG!$D$15="","",ROUND(CHỈ_SỐ_TRẮNG!$D$15*HỆ_SỐ_PHẨM_CHẤT!$C$7,0))</f>
        <v>1170</v>
      </c>
      <c r="E52" s="28" t="n">
        <f aca="false">IF(CHỈ_SỐ_TRẮNG!$E$15="","",ROUND(CHỈ_SỐ_TRẮNG!$E$15*HỆ_SỐ_PHẨM_CHẤT!$D$7,0))</f>
        <v>111</v>
      </c>
      <c r="F52" s="28" t="n">
        <f aca="false">IF(CHỈ_SỐ_TRẮNG!$F$15="","",ROUND(CHỈ_SỐ_TRẮNG!$F$15*HỆ_SỐ_PHẨM_CHẤT!$E$7,0))</f>
        <v>49</v>
      </c>
      <c r="G52" s="29" t="n">
        <f aca="false">IF(CHỈ_SỐ_TRẮNG!$G$15="","",CHỈ_SỐ_TRẮNG!$G$15+HỆ_SỐ_PHẨM_CHẤT!$G$7)</f>
        <v>119</v>
      </c>
      <c r="H52" s="29" t="n">
        <f aca="false">IF(CHỈ_SỐ_TRẮNG!$H$15="","",ROUND(CHỈ_SỐ_TRẮNG!$H$15*HỆ_SỐ_PHẨM_CHẤT!$F$7,1))</f>
        <v>18.2</v>
      </c>
      <c r="I52" s="30" t="n">
        <f aca="false">IF(CHỈ_SỐ_TRẮNG!$I$15="","",CHỈ_SỐ_TRẮNG!$I$15+HỆ_SỐ_PHẨM_CHẤT!$H$7)</f>
        <v>0.05</v>
      </c>
      <c r="J52" s="30" t="n">
        <f aca="false">IF(CHỈ_SỐ_TRẮNG!$J$15="","",CHỈ_SỐ_TRẮNG!$J$15+HỆ_SỐ_PHẨM_CHẤT!$I$7)</f>
        <v>0.05</v>
      </c>
      <c r="K52" s="30" t="n">
        <f aca="false">IF(CHỈ_SỐ_TRẮNG!$K$15="","",CHỈ_SỐ_TRẮNG!$K$15+HỆ_SỐ_PHẨM_CHẤT!$J$7)</f>
        <v>0.05</v>
      </c>
      <c r="L52" s="31" t="n">
        <f aca="false">IF(CHỈ_SỐ_TRẮNG!$L$15="","",CHỈ_SỐ_TRẮNG!$L$15+HỆ_SỐ_PHẨM_CHẤT!$K$7)</f>
        <v>1.55</v>
      </c>
      <c r="M52" s="30" t="n">
        <f aca="false">IF(CHỈ_SỐ_TRẮNG!$M$15="","",CHỈ_SỐ_TRẮNG!$M$15+HỆ_SỐ_PHẨM_CHẤT!$L$7)</f>
        <v>0.03</v>
      </c>
      <c r="N52" s="22" t="str">
        <f aca="false">IF(OR(N(I52)&gt;0.1,N(K52)&gt;0.1),"Né/chí mạng vượt 10%","")</f>
        <v/>
      </c>
    </row>
    <row r="53" customFormat="false" ht="15" hidden="false" customHeight="true" outlineLevel="0" collapsed="false">
      <c r="A53" s="22" t="str">
        <f aca="false">NHÂN_VẬT!$A$15</f>
        <v>NV11</v>
      </c>
      <c r="B53" s="22" t="str">
        <f aca="false">IF(NHÂN_VẬT!$B$15="","",NHÂN_VẬT!$B$15)</f>
        <v>HCM- BÍCH THÍCH CHAN</v>
      </c>
      <c r="C53" s="22" t="str">
        <f aca="false">HỆ_SỐ_PHẨM_CHẤT!$A$8</f>
        <v>Tím</v>
      </c>
      <c r="D53" s="28" t="n">
        <f aca="false">IF(CHỈ_SỐ_TRẮNG!$D$15="","",ROUND(CHỈ_SỐ_TRẮNG!$D$15*HỆ_SỐ_PHẨM_CHẤT!$C$8,0))</f>
        <v>1350</v>
      </c>
      <c r="E53" s="28" t="n">
        <f aca="false">IF(CHỈ_SỐ_TRẮNG!$E$15="","",ROUND(CHỈ_SỐ_TRẮNG!$E$15*HỆ_SỐ_PHẨM_CHẤT!$D$8,0))</f>
        <v>128</v>
      </c>
      <c r="F53" s="28" t="n">
        <f aca="false">IF(CHỈ_SỐ_TRẮNG!$F$15="","",ROUND(CHỈ_SỐ_TRẮNG!$F$15*HỆ_SỐ_PHẨM_CHẤT!$E$8,0))</f>
        <v>57</v>
      </c>
      <c r="G53" s="29" t="n">
        <f aca="false">IF(CHỈ_SỐ_TRẮNG!$G$15="","",CHỈ_SỐ_TRẮNG!$G$15+HỆ_SỐ_PHẨM_CHẤT!$G$8)</f>
        <v>120</v>
      </c>
      <c r="H53" s="29" t="n">
        <f aca="false">IF(CHỈ_SỐ_TRẮNG!$H$15="","",ROUND(CHỈ_SỐ_TRẮNG!$H$15*HỆ_SỐ_PHẨM_CHẤT!$F$8,1))</f>
        <v>21</v>
      </c>
      <c r="I53" s="30" t="n">
        <f aca="false">IF(CHỈ_SỐ_TRẮNG!$I$15="","",CHỈ_SỐ_TRẮNG!$I$15+HỆ_SỐ_PHẨM_CHẤT!$H$8)</f>
        <v>0.055</v>
      </c>
      <c r="J53" s="30" t="n">
        <f aca="false">IF(CHỈ_SỐ_TRẮNG!$J$15="","",CHỈ_SỐ_TRẮNG!$J$15+HỆ_SỐ_PHẨM_CHẤT!$I$8)</f>
        <v>0.055</v>
      </c>
      <c r="K53" s="30" t="n">
        <f aca="false">IF(CHỈ_SỐ_TRẮNG!$K$15="","",CHỈ_SỐ_TRẮNG!$K$15+HỆ_SỐ_PHẨM_CHẤT!$J$8)</f>
        <v>0.055</v>
      </c>
      <c r="L53" s="31" t="n">
        <f aca="false">IF(CHỈ_SỐ_TRẮNG!$L$15="","",CHỈ_SỐ_TRẮNG!$L$15+HỆ_SỐ_PHẨM_CHẤT!$K$8)</f>
        <v>1.6</v>
      </c>
      <c r="M53" s="30" t="n">
        <f aca="false">IF(CHỈ_SỐ_TRẮNG!$M$15="","",CHỈ_SỐ_TRẮNG!$M$15+HỆ_SỐ_PHẨM_CHẤT!$L$8)</f>
        <v>0.035</v>
      </c>
      <c r="N53" s="22" t="str">
        <f aca="false">IF(OR(N(I53)&gt;0.1,N(K53)&gt;0.1),"Né/chí mạng vượt 10%","")</f>
        <v/>
      </c>
    </row>
    <row r="54" customFormat="false" ht="15" hidden="false" customHeight="true" outlineLevel="0" collapsed="false">
      <c r="A54" s="22" t="str">
        <f aca="false">NHÂN_VẬT!$A$15</f>
        <v>NV11</v>
      </c>
      <c r="B54" s="22" t="str">
        <f aca="false">IF(NHÂN_VẬT!$B$15="","",NHÂN_VẬT!$B$15)</f>
        <v>HCM- BÍCH THÍCH CHAN</v>
      </c>
      <c r="C54" s="22" t="str">
        <f aca="false">HỆ_SỐ_PHẨM_CHẤT!$A$9</f>
        <v>Đỏ</v>
      </c>
      <c r="D54" s="28" t="n">
        <f aca="false">IF(CHỈ_SỐ_TRẮNG!$D$15="","",ROUND(CHỈ_SỐ_TRẮNG!$D$15*HỆ_SỐ_PHẨM_CHẤT!$C$9,0))</f>
        <v>1575</v>
      </c>
      <c r="E54" s="28" t="n">
        <f aca="false">IF(CHỈ_SỐ_TRẮNG!$E$15="","",ROUND(CHỈ_SỐ_TRẮNG!$E$15*HỆ_SỐ_PHẨM_CHẤT!$D$9,0))</f>
        <v>149</v>
      </c>
      <c r="F54" s="28" t="n">
        <f aca="false">IF(CHỈ_SỐ_TRẮNG!$F$15="","",ROUND(CHỈ_SỐ_TRẮNG!$F$15*HỆ_SỐ_PHẨM_CHẤT!$E$9,0))</f>
        <v>67</v>
      </c>
      <c r="G54" s="29" t="n">
        <f aca="false">IF(CHỈ_SỐ_TRẮNG!$G$15="","",CHỈ_SỐ_TRẮNG!$G$15+HỆ_SỐ_PHẨM_CHẤT!$G$9)</f>
        <v>121</v>
      </c>
      <c r="H54" s="29" t="n">
        <f aca="false">IF(CHỈ_SỐ_TRẮNG!$H$15="","",ROUND(CHỈ_SỐ_TRẮNG!$H$15*HỆ_SỐ_PHẨM_CHẤT!$F$9,1))</f>
        <v>24.5</v>
      </c>
      <c r="I54" s="30" t="n">
        <f aca="false">IF(CHỈ_SỐ_TRẮNG!$I$15="","",CHỈ_SỐ_TRẮNG!$I$15+HỆ_SỐ_PHẨM_CHẤT!$H$9)</f>
        <v>0.06</v>
      </c>
      <c r="J54" s="30" t="n">
        <f aca="false">IF(CHỈ_SỐ_TRẮNG!$J$15="","",CHỈ_SỐ_TRẮNG!$J$15+HỆ_SỐ_PHẨM_CHẤT!$I$9)</f>
        <v>0.06</v>
      </c>
      <c r="K54" s="30" t="n">
        <f aca="false">IF(CHỈ_SỐ_TRẮNG!$K$15="","",CHỈ_SỐ_TRẮNG!$K$15+HỆ_SỐ_PHẨM_CHẤT!$J$9)</f>
        <v>0.06</v>
      </c>
      <c r="L54" s="31" t="n">
        <f aca="false">IF(CHỈ_SỐ_TRẮNG!$L$15="","",CHỈ_SỐ_TRẮNG!$L$15+HỆ_SỐ_PHẨM_CHẤT!$K$9)</f>
        <v>1.65</v>
      </c>
      <c r="M54" s="30" t="n">
        <f aca="false">IF(CHỈ_SỐ_TRẮNG!$M$15="","",CHỈ_SỐ_TRẮNG!$M$15+HỆ_SỐ_PHẨM_CHẤT!$L$9)</f>
        <v>0.04</v>
      </c>
      <c r="N54" s="22" t="str">
        <f aca="false">IF(OR(N(I54)&gt;0.1,N(K54)&gt;0.1),"Né/chí mạng vượt 10%","")</f>
        <v/>
      </c>
    </row>
    <row r="55" customFormat="false" ht="15" hidden="false" customHeight="true" outlineLevel="0" collapsed="false">
      <c r="A55" s="22" t="str">
        <f aca="false">NHÂN_VẬT!$A$16</f>
        <v>NV12</v>
      </c>
      <c r="B55" s="22" t="str">
        <f aca="false">IF(NHÂN_VẬT!$B$16="","",NHÂN_VẬT!$B$16)</f>
        <v/>
      </c>
      <c r="C55" s="22" t="str">
        <f aca="false">HỆ_SỐ_PHẨM_CHẤT!$A$5</f>
        <v>Trắng</v>
      </c>
      <c r="D55" s="28" t="str">
        <f aca="false">IF(CHỈ_SỐ_TRẮNG!$D$16="","",ROUND(CHỈ_SỐ_TRẮNG!$D$16*HỆ_SỐ_PHẨM_CHẤT!$C$5,0))</f>
        <v/>
      </c>
      <c r="E55" s="28" t="str">
        <f aca="false">IF(CHỈ_SỐ_TRẮNG!$E$16="","",ROUND(CHỈ_SỐ_TRẮNG!$E$16*HỆ_SỐ_PHẨM_CHẤT!$D$5,0))</f>
        <v/>
      </c>
      <c r="F55" s="28" t="str">
        <f aca="false">IF(CHỈ_SỐ_TRẮNG!$F$16="","",ROUND(CHỈ_SỐ_TRẮNG!$F$16*HỆ_SỐ_PHẨM_CHẤT!$E$5,0))</f>
        <v/>
      </c>
      <c r="G55" s="29" t="str">
        <f aca="false">IF(CHỈ_SỐ_TRẮNG!$G$16="","",CHỈ_SỐ_TRẮNG!$G$16+HỆ_SỐ_PHẨM_CHẤT!$G$5)</f>
        <v/>
      </c>
      <c r="H55" s="29" t="str">
        <f aca="false">IF(CHỈ_SỐ_TRẮNG!$H$16="","",ROUND(CHỈ_SỐ_TRẮNG!$H$16*HỆ_SỐ_PHẨM_CHẤT!$F$5,1))</f>
        <v/>
      </c>
      <c r="I55" s="30" t="str">
        <f aca="false">IF(CHỈ_SỐ_TRẮNG!$I$16="","",CHỈ_SỐ_TRẮNG!$I$16+HỆ_SỐ_PHẨM_CHẤT!$H$5)</f>
        <v/>
      </c>
      <c r="J55" s="30" t="str">
        <f aca="false">IF(CHỈ_SỐ_TRẮNG!$J$16="","",CHỈ_SỐ_TRẮNG!$J$16+HỆ_SỐ_PHẨM_CHẤT!$I$5)</f>
        <v/>
      </c>
      <c r="K55" s="30" t="str">
        <f aca="false">IF(CHỈ_SỐ_TRẮNG!$K$16="","",CHỈ_SỐ_TRẮNG!$K$16+HỆ_SỐ_PHẨM_CHẤT!$J$5)</f>
        <v/>
      </c>
      <c r="L55" s="31" t="str">
        <f aca="false">IF(CHỈ_SỐ_TRẮNG!$L$16="","",CHỈ_SỐ_TRẮNG!$L$16+HỆ_SỐ_PHẨM_CHẤT!$K$5)</f>
        <v/>
      </c>
      <c r="M55" s="30" t="str">
        <f aca="false">IF(CHỈ_SỐ_TRẮNG!$M$16="","",CHỈ_SỐ_TRẮNG!$M$16+HỆ_SỐ_PHẨM_CHẤT!$L$5)</f>
        <v/>
      </c>
      <c r="N55" s="22" t="str">
        <f aca="false">IF(OR(N(I55)&gt;0.1,N(K55)&gt;0.1),"Né/chí mạng vượt 10%","")</f>
        <v/>
      </c>
    </row>
    <row r="56" customFormat="false" ht="15" hidden="false" customHeight="true" outlineLevel="0" collapsed="false">
      <c r="A56" s="22" t="str">
        <f aca="false">NHÂN_VẬT!$A$16</f>
        <v>NV12</v>
      </c>
      <c r="B56" s="22" t="str">
        <f aca="false">IF(NHÂN_VẬT!$B$16="","",NHÂN_VẬT!$B$16)</f>
        <v/>
      </c>
      <c r="C56" s="22" t="str">
        <f aca="false">HỆ_SỐ_PHẨM_CHẤT!$A$6</f>
        <v>Xanh lá</v>
      </c>
      <c r="D56" s="28" t="str">
        <f aca="false">IF(CHỈ_SỐ_TRẮNG!$D$16="","",ROUND(CHỈ_SỐ_TRẮNG!$D$16*HỆ_SỐ_PHẨM_CHẤT!$C$6,0))</f>
        <v/>
      </c>
      <c r="E56" s="28" t="str">
        <f aca="false">IF(CHỈ_SỐ_TRẮNG!$E$16="","",ROUND(CHỈ_SỐ_TRẮNG!$E$16*HỆ_SỐ_PHẨM_CHẤT!$D$6,0))</f>
        <v/>
      </c>
      <c r="F56" s="28" t="str">
        <f aca="false">IF(CHỈ_SỐ_TRẮNG!$F$16="","",ROUND(CHỈ_SỐ_TRẮNG!$F$16*HỆ_SỐ_PHẨM_CHẤT!$E$6,0))</f>
        <v/>
      </c>
      <c r="G56" s="29" t="str">
        <f aca="false">IF(CHỈ_SỐ_TRẮNG!$G$16="","",CHỈ_SỐ_TRẮNG!$G$16+HỆ_SỐ_PHẨM_CHẤT!$G$6)</f>
        <v/>
      </c>
      <c r="H56" s="29" t="str">
        <f aca="false">IF(CHỈ_SỐ_TRẮNG!$H$16="","",ROUND(CHỈ_SỐ_TRẮNG!$H$16*HỆ_SỐ_PHẨM_CHẤT!$F$6,1))</f>
        <v/>
      </c>
      <c r="I56" s="30" t="str">
        <f aca="false">IF(CHỈ_SỐ_TRẮNG!$I$16="","",CHỈ_SỐ_TRẮNG!$I$16+HỆ_SỐ_PHẨM_CHẤT!$H$6)</f>
        <v/>
      </c>
      <c r="J56" s="30" t="str">
        <f aca="false">IF(CHỈ_SỐ_TRẮNG!$J$16="","",CHỈ_SỐ_TRẮNG!$J$16+HỆ_SỐ_PHẨM_CHẤT!$I$6)</f>
        <v/>
      </c>
      <c r="K56" s="30" t="str">
        <f aca="false">IF(CHỈ_SỐ_TRẮNG!$K$16="","",CHỈ_SỐ_TRẮNG!$K$16+HỆ_SỐ_PHẨM_CHẤT!$J$6)</f>
        <v/>
      </c>
      <c r="L56" s="31" t="str">
        <f aca="false">IF(CHỈ_SỐ_TRẮNG!$L$16="","",CHỈ_SỐ_TRẮNG!$L$16+HỆ_SỐ_PHẨM_CHẤT!$K$6)</f>
        <v/>
      </c>
      <c r="M56" s="30" t="str">
        <f aca="false">IF(CHỈ_SỐ_TRẮNG!$M$16="","",CHỈ_SỐ_TRẮNG!$M$16+HỆ_SỐ_PHẨM_CHẤT!$L$6)</f>
        <v/>
      </c>
      <c r="N56" s="22" t="str">
        <f aca="false">IF(OR(N(I56)&gt;0.1,N(K56)&gt;0.1),"Né/chí mạng vượt 10%","")</f>
        <v/>
      </c>
    </row>
    <row r="57" customFormat="false" ht="15" hidden="false" customHeight="true" outlineLevel="0" collapsed="false">
      <c r="A57" s="22" t="str">
        <f aca="false">NHÂN_VẬT!$A$16</f>
        <v>NV12</v>
      </c>
      <c r="B57" s="22" t="str">
        <f aca="false">IF(NHÂN_VẬT!$B$16="","",NHÂN_VẬT!$B$16)</f>
        <v/>
      </c>
      <c r="C57" s="22" t="str">
        <f aca="false">HỆ_SỐ_PHẨM_CHẤT!$A$7</f>
        <v>Xanh dương</v>
      </c>
      <c r="D57" s="28" t="str">
        <f aca="false">IF(CHỈ_SỐ_TRẮNG!$D$16="","",ROUND(CHỈ_SỐ_TRẮNG!$D$16*HỆ_SỐ_PHẨM_CHẤT!$C$7,0))</f>
        <v/>
      </c>
      <c r="E57" s="28" t="str">
        <f aca="false">IF(CHỈ_SỐ_TRẮNG!$E$16="","",ROUND(CHỈ_SỐ_TRẮNG!$E$16*HỆ_SỐ_PHẨM_CHẤT!$D$7,0))</f>
        <v/>
      </c>
      <c r="F57" s="28" t="str">
        <f aca="false">IF(CHỈ_SỐ_TRẮNG!$F$16="","",ROUND(CHỈ_SỐ_TRẮNG!$F$16*HỆ_SỐ_PHẨM_CHẤT!$E$7,0))</f>
        <v/>
      </c>
      <c r="G57" s="29" t="str">
        <f aca="false">IF(CHỈ_SỐ_TRẮNG!$G$16="","",CHỈ_SỐ_TRẮNG!$G$16+HỆ_SỐ_PHẨM_CHẤT!$G$7)</f>
        <v/>
      </c>
      <c r="H57" s="29" t="str">
        <f aca="false">IF(CHỈ_SỐ_TRẮNG!$H$16="","",ROUND(CHỈ_SỐ_TRẮNG!$H$16*HỆ_SỐ_PHẨM_CHẤT!$F$7,1))</f>
        <v/>
      </c>
      <c r="I57" s="30" t="str">
        <f aca="false">IF(CHỈ_SỐ_TRẮNG!$I$16="","",CHỈ_SỐ_TRẮNG!$I$16+HỆ_SỐ_PHẨM_CHẤT!$H$7)</f>
        <v/>
      </c>
      <c r="J57" s="30" t="str">
        <f aca="false">IF(CHỈ_SỐ_TRẮNG!$J$16="","",CHỈ_SỐ_TRẮNG!$J$16+HỆ_SỐ_PHẨM_CHẤT!$I$7)</f>
        <v/>
      </c>
      <c r="K57" s="30" t="str">
        <f aca="false">IF(CHỈ_SỐ_TRẮNG!$K$16="","",CHỈ_SỐ_TRẮNG!$K$16+HỆ_SỐ_PHẨM_CHẤT!$J$7)</f>
        <v/>
      </c>
      <c r="L57" s="31" t="str">
        <f aca="false">IF(CHỈ_SỐ_TRẮNG!$L$16="","",CHỈ_SỐ_TRẮNG!$L$16+HỆ_SỐ_PHẨM_CHẤT!$K$7)</f>
        <v/>
      </c>
      <c r="M57" s="30" t="str">
        <f aca="false">IF(CHỈ_SỐ_TRẮNG!$M$16="","",CHỈ_SỐ_TRẮNG!$M$16+HỆ_SỐ_PHẨM_CHẤT!$L$7)</f>
        <v/>
      </c>
      <c r="N57" s="22" t="str">
        <f aca="false">IF(OR(N(I57)&gt;0.1,N(K57)&gt;0.1),"Né/chí mạng vượt 10%","")</f>
        <v/>
      </c>
    </row>
    <row r="58" customFormat="false" ht="15" hidden="false" customHeight="true" outlineLevel="0" collapsed="false">
      <c r="A58" s="22" t="str">
        <f aca="false">NHÂN_VẬT!$A$16</f>
        <v>NV12</v>
      </c>
      <c r="B58" s="22" t="str">
        <f aca="false">IF(NHÂN_VẬT!$B$16="","",NHÂN_VẬT!$B$16)</f>
        <v/>
      </c>
      <c r="C58" s="22" t="str">
        <f aca="false">HỆ_SỐ_PHẨM_CHẤT!$A$8</f>
        <v>Tím</v>
      </c>
      <c r="D58" s="28" t="str">
        <f aca="false">IF(CHỈ_SỐ_TRẮNG!$D$16="","",ROUND(CHỈ_SỐ_TRẮNG!$D$16*HỆ_SỐ_PHẨM_CHẤT!$C$8,0))</f>
        <v/>
      </c>
      <c r="E58" s="28" t="str">
        <f aca="false">IF(CHỈ_SỐ_TRẮNG!$E$16="","",ROUND(CHỈ_SỐ_TRẮNG!$E$16*HỆ_SỐ_PHẨM_CHẤT!$D$8,0))</f>
        <v/>
      </c>
      <c r="F58" s="28" t="str">
        <f aca="false">IF(CHỈ_SỐ_TRẮNG!$F$16="","",ROUND(CHỈ_SỐ_TRẮNG!$F$16*HỆ_SỐ_PHẨM_CHẤT!$E$8,0))</f>
        <v/>
      </c>
      <c r="G58" s="29" t="str">
        <f aca="false">IF(CHỈ_SỐ_TRẮNG!$G$16="","",CHỈ_SỐ_TRẮNG!$G$16+HỆ_SỐ_PHẨM_CHẤT!$G$8)</f>
        <v/>
      </c>
      <c r="H58" s="29" t="str">
        <f aca="false">IF(CHỈ_SỐ_TRẮNG!$H$16="","",ROUND(CHỈ_SỐ_TRẮNG!$H$16*HỆ_SỐ_PHẨM_CHẤT!$F$8,1))</f>
        <v/>
      </c>
      <c r="I58" s="30" t="str">
        <f aca="false">IF(CHỈ_SỐ_TRẮNG!$I$16="","",CHỈ_SỐ_TRẮNG!$I$16+HỆ_SỐ_PHẨM_CHẤT!$H$8)</f>
        <v/>
      </c>
      <c r="J58" s="30" t="str">
        <f aca="false">IF(CHỈ_SỐ_TRẮNG!$J$16="","",CHỈ_SỐ_TRẮNG!$J$16+HỆ_SỐ_PHẨM_CHẤT!$I$8)</f>
        <v/>
      </c>
      <c r="K58" s="30" t="str">
        <f aca="false">IF(CHỈ_SỐ_TRẮNG!$K$16="","",CHỈ_SỐ_TRẮNG!$K$16+HỆ_SỐ_PHẨM_CHẤT!$J$8)</f>
        <v/>
      </c>
      <c r="L58" s="31" t="str">
        <f aca="false">IF(CHỈ_SỐ_TRẮNG!$L$16="","",CHỈ_SỐ_TRẮNG!$L$16+HỆ_SỐ_PHẨM_CHẤT!$K$8)</f>
        <v/>
      </c>
      <c r="M58" s="30" t="str">
        <f aca="false">IF(CHỈ_SỐ_TRẮNG!$M$16="","",CHỈ_SỐ_TRẮNG!$M$16+HỆ_SỐ_PHẨM_CHẤT!$L$8)</f>
        <v/>
      </c>
      <c r="N58" s="22" t="str">
        <f aca="false">IF(OR(N(I58)&gt;0.1,N(K58)&gt;0.1),"Né/chí mạng vượt 10%","")</f>
        <v/>
      </c>
    </row>
    <row r="59" customFormat="false" ht="15" hidden="false" customHeight="true" outlineLevel="0" collapsed="false">
      <c r="A59" s="22" t="str">
        <f aca="false">NHÂN_VẬT!$A$16</f>
        <v>NV12</v>
      </c>
      <c r="B59" s="22" t="str">
        <f aca="false">IF(NHÂN_VẬT!$B$16="","",NHÂN_VẬT!$B$16)</f>
        <v/>
      </c>
      <c r="C59" s="22" t="str">
        <f aca="false">HỆ_SỐ_PHẨM_CHẤT!$A$9</f>
        <v>Đỏ</v>
      </c>
      <c r="D59" s="28" t="str">
        <f aca="false">IF(CHỈ_SỐ_TRẮNG!$D$16="","",ROUND(CHỈ_SỐ_TRẮNG!$D$16*HỆ_SỐ_PHẨM_CHẤT!$C$9,0))</f>
        <v/>
      </c>
      <c r="E59" s="28" t="str">
        <f aca="false">IF(CHỈ_SỐ_TRẮNG!$E$16="","",ROUND(CHỈ_SỐ_TRẮNG!$E$16*HỆ_SỐ_PHẨM_CHẤT!$D$9,0))</f>
        <v/>
      </c>
      <c r="F59" s="28" t="str">
        <f aca="false">IF(CHỈ_SỐ_TRẮNG!$F$16="","",ROUND(CHỈ_SỐ_TRẮNG!$F$16*HỆ_SỐ_PHẨM_CHẤT!$E$9,0))</f>
        <v/>
      </c>
      <c r="G59" s="29" t="str">
        <f aca="false">IF(CHỈ_SỐ_TRẮNG!$G$16="","",CHỈ_SỐ_TRẮNG!$G$16+HỆ_SỐ_PHẨM_CHẤT!$G$9)</f>
        <v/>
      </c>
      <c r="H59" s="29" t="str">
        <f aca="false">IF(CHỈ_SỐ_TRẮNG!$H$16="","",ROUND(CHỈ_SỐ_TRẮNG!$H$16*HỆ_SỐ_PHẨM_CHẤT!$F$9,1))</f>
        <v/>
      </c>
      <c r="I59" s="30" t="str">
        <f aca="false">IF(CHỈ_SỐ_TRẮNG!$I$16="","",CHỈ_SỐ_TRẮNG!$I$16+HỆ_SỐ_PHẨM_CHẤT!$H$9)</f>
        <v/>
      </c>
      <c r="J59" s="30" t="str">
        <f aca="false">IF(CHỈ_SỐ_TRẮNG!$J$16="","",CHỈ_SỐ_TRẮNG!$J$16+HỆ_SỐ_PHẨM_CHẤT!$I$9)</f>
        <v/>
      </c>
      <c r="K59" s="30" t="str">
        <f aca="false">IF(CHỈ_SỐ_TRẮNG!$K$16="","",CHỈ_SỐ_TRẮNG!$K$16+HỆ_SỐ_PHẨM_CHẤT!$J$9)</f>
        <v/>
      </c>
      <c r="L59" s="31" t="str">
        <f aca="false">IF(CHỈ_SỐ_TRẮNG!$L$16="","",CHỈ_SỐ_TRẮNG!$L$16+HỆ_SỐ_PHẨM_CHẤT!$K$9)</f>
        <v/>
      </c>
      <c r="M59" s="30" t="str">
        <f aca="false">IF(CHỈ_SỐ_TRẮNG!$M$16="","",CHỈ_SỐ_TRẮNG!$M$16+HỆ_SỐ_PHẨM_CHẤT!$L$9)</f>
        <v/>
      </c>
      <c r="N59" s="22" t="str">
        <f aca="false">IF(OR(N(I59)&gt;0.1,N(K59)&gt;0.1),"Né/chí mạng vượt 10%","")</f>
        <v/>
      </c>
    </row>
    <row r="60" customFormat="false" ht="15" hidden="false" customHeight="true" outlineLevel="0" collapsed="false">
      <c r="A60" s="22" t="str">
        <f aca="false">NHÂN_VẬT!$A$17</f>
        <v>NV13</v>
      </c>
      <c r="B60" s="22" t="str">
        <f aca="false">IF(NHÂN_VẬT!$B$17="","",NHÂN_VẬT!$B$17)</f>
        <v/>
      </c>
      <c r="C60" s="22" t="str">
        <f aca="false">HỆ_SỐ_PHẨM_CHẤT!$A$5</f>
        <v>Trắng</v>
      </c>
      <c r="D60" s="28" t="str">
        <f aca="false">IF(CHỈ_SỐ_TRẮNG!$D$17="","",ROUND(CHỈ_SỐ_TRẮNG!$D$17*HỆ_SỐ_PHẨM_CHẤT!$C$5,0))</f>
        <v/>
      </c>
      <c r="E60" s="28" t="str">
        <f aca="false">IF(CHỈ_SỐ_TRẮNG!$E$17="","",ROUND(CHỈ_SỐ_TRẮNG!$E$17*HỆ_SỐ_PHẨM_CHẤT!$D$5,0))</f>
        <v/>
      </c>
      <c r="F60" s="28" t="str">
        <f aca="false">IF(CHỈ_SỐ_TRẮNG!$F$17="","",ROUND(CHỈ_SỐ_TRẮNG!$F$17*HỆ_SỐ_PHẨM_CHẤT!$E$5,0))</f>
        <v/>
      </c>
      <c r="G60" s="29" t="str">
        <f aca="false">IF(CHỈ_SỐ_TRẮNG!$G$17="","",CHỈ_SỐ_TRẮNG!$G$17+HỆ_SỐ_PHẨM_CHẤT!$G$5)</f>
        <v/>
      </c>
      <c r="H60" s="29" t="str">
        <f aca="false">IF(CHỈ_SỐ_TRẮNG!$H$17="","",ROUND(CHỈ_SỐ_TRẮNG!$H$17*HỆ_SỐ_PHẨM_CHẤT!$F$5,1))</f>
        <v/>
      </c>
      <c r="I60" s="30" t="str">
        <f aca="false">IF(CHỈ_SỐ_TRẮNG!$I$17="","",CHỈ_SỐ_TRẮNG!$I$17+HỆ_SỐ_PHẨM_CHẤT!$H$5)</f>
        <v/>
      </c>
      <c r="J60" s="30" t="str">
        <f aca="false">IF(CHỈ_SỐ_TRẮNG!$J$17="","",CHỈ_SỐ_TRẮNG!$J$17+HỆ_SỐ_PHẨM_CHẤT!$I$5)</f>
        <v/>
      </c>
      <c r="K60" s="30" t="str">
        <f aca="false">IF(CHỈ_SỐ_TRẮNG!$K$17="","",CHỈ_SỐ_TRẮNG!$K$17+HỆ_SỐ_PHẨM_CHẤT!$J$5)</f>
        <v/>
      </c>
      <c r="L60" s="31" t="str">
        <f aca="false">IF(CHỈ_SỐ_TRẮNG!$L$17="","",CHỈ_SỐ_TRẮNG!$L$17+HỆ_SỐ_PHẨM_CHẤT!$K$5)</f>
        <v/>
      </c>
      <c r="M60" s="30" t="str">
        <f aca="false">IF(CHỈ_SỐ_TRẮNG!$M$17="","",CHỈ_SỐ_TRẮNG!$M$17+HỆ_SỐ_PHẨM_CHẤT!$L$5)</f>
        <v/>
      </c>
      <c r="N60" s="22" t="str">
        <f aca="false">IF(OR(N(I60)&gt;0.1,N(K60)&gt;0.1),"Né/chí mạng vượt 10%","")</f>
        <v/>
      </c>
    </row>
    <row r="61" customFormat="false" ht="15" hidden="false" customHeight="true" outlineLevel="0" collapsed="false">
      <c r="A61" s="22" t="str">
        <f aca="false">NHÂN_VẬT!$A$17</f>
        <v>NV13</v>
      </c>
      <c r="B61" s="22" t="str">
        <f aca="false">IF(NHÂN_VẬT!$B$17="","",NHÂN_VẬT!$B$17)</f>
        <v/>
      </c>
      <c r="C61" s="22" t="str">
        <f aca="false">HỆ_SỐ_PHẨM_CHẤT!$A$6</f>
        <v>Xanh lá</v>
      </c>
      <c r="D61" s="28" t="str">
        <f aca="false">IF(CHỈ_SỐ_TRẮNG!$D$17="","",ROUND(CHỈ_SỐ_TRẮNG!$D$17*HỆ_SỐ_PHẨM_CHẤT!$C$6,0))</f>
        <v/>
      </c>
      <c r="E61" s="28" t="str">
        <f aca="false">IF(CHỈ_SỐ_TRẮNG!$E$17="","",ROUND(CHỈ_SỐ_TRẮNG!$E$17*HỆ_SỐ_PHẨM_CHẤT!$D$6,0))</f>
        <v/>
      </c>
      <c r="F61" s="28" t="str">
        <f aca="false">IF(CHỈ_SỐ_TRẮNG!$F$17="","",ROUND(CHỈ_SỐ_TRẮNG!$F$17*HỆ_SỐ_PHẨM_CHẤT!$E$6,0))</f>
        <v/>
      </c>
      <c r="G61" s="29" t="str">
        <f aca="false">IF(CHỈ_SỐ_TRẮNG!$G$17="","",CHỈ_SỐ_TRẮNG!$G$17+HỆ_SỐ_PHẨM_CHẤT!$G$6)</f>
        <v/>
      </c>
      <c r="H61" s="29" t="str">
        <f aca="false">IF(CHỈ_SỐ_TRẮNG!$H$17="","",ROUND(CHỈ_SỐ_TRẮNG!$H$17*HỆ_SỐ_PHẨM_CHẤT!$F$6,1))</f>
        <v/>
      </c>
      <c r="I61" s="30" t="str">
        <f aca="false">IF(CHỈ_SỐ_TRẮNG!$I$17="","",CHỈ_SỐ_TRẮNG!$I$17+HỆ_SỐ_PHẨM_CHẤT!$H$6)</f>
        <v/>
      </c>
      <c r="J61" s="30" t="str">
        <f aca="false">IF(CHỈ_SỐ_TRẮNG!$J$17="","",CHỈ_SỐ_TRẮNG!$J$17+HỆ_SỐ_PHẨM_CHẤT!$I$6)</f>
        <v/>
      </c>
      <c r="K61" s="30" t="str">
        <f aca="false">IF(CHỈ_SỐ_TRẮNG!$K$17="","",CHỈ_SỐ_TRẮNG!$K$17+HỆ_SỐ_PHẨM_CHẤT!$J$6)</f>
        <v/>
      </c>
      <c r="L61" s="31" t="str">
        <f aca="false">IF(CHỈ_SỐ_TRẮNG!$L$17="","",CHỈ_SỐ_TRẮNG!$L$17+HỆ_SỐ_PHẨM_CHẤT!$K$6)</f>
        <v/>
      </c>
      <c r="M61" s="30" t="str">
        <f aca="false">IF(CHỈ_SỐ_TRẮNG!$M$17="","",CHỈ_SỐ_TRẮNG!$M$17+HỆ_SỐ_PHẨM_CHẤT!$L$6)</f>
        <v/>
      </c>
      <c r="N61" s="22" t="str">
        <f aca="false">IF(OR(N(I61)&gt;0.1,N(K61)&gt;0.1),"Né/chí mạng vượt 10%","")</f>
        <v/>
      </c>
    </row>
    <row r="62" customFormat="false" ht="15" hidden="false" customHeight="true" outlineLevel="0" collapsed="false">
      <c r="A62" s="22" t="str">
        <f aca="false">NHÂN_VẬT!$A$17</f>
        <v>NV13</v>
      </c>
      <c r="B62" s="22" t="str">
        <f aca="false">IF(NHÂN_VẬT!$B$17="","",NHÂN_VẬT!$B$17)</f>
        <v/>
      </c>
      <c r="C62" s="22" t="str">
        <f aca="false">HỆ_SỐ_PHẨM_CHẤT!$A$7</f>
        <v>Xanh dương</v>
      </c>
      <c r="D62" s="28" t="str">
        <f aca="false">IF(CHỈ_SỐ_TRẮNG!$D$17="","",ROUND(CHỈ_SỐ_TRẮNG!$D$17*HỆ_SỐ_PHẨM_CHẤT!$C$7,0))</f>
        <v/>
      </c>
      <c r="E62" s="28" t="str">
        <f aca="false">IF(CHỈ_SỐ_TRẮNG!$E$17="","",ROUND(CHỈ_SỐ_TRẮNG!$E$17*HỆ_SỐ_PHẨM_CHẤT!$D$7,0))</f>
        <v/>
      </c>
      <c r="F62" s="28" t="str">
        <f aca="false">IF(CHỈ_SỐ_TRẮNG!$F$17="","",ROUND(CHỈ_SỐ_TRẮNG!$F$17*HỆ_SỐ_PHẨM_CHẤT!$E$7,0))</f>
        <v/>
      </c>
      <c r="G62" s="29" t="str">
        <f aca="false">IF(CHỈ_SỐ_TRẮNG!$G$17="","",CHỈ_SỐ_TRẮNG!$G$17+HỆ_SỐ_PHẨM_CHẤT!$G$7)</f>
        <v/>
      </c>
      <c r="H62" s="29" t="str">
        <f aca="false">IF(CHỈ_SỐ_TRẮNG!$H$17="","",ROUND(CHỈ_SỐ_TRẮNG!$H$17*HỆ_SỐ_PHẨM_CHẤT!$F$7,1))</f>
        <v/>
      </c>
      <c r="I62" s="30" t="str">
        <f aca="false">IF(CHỈ_SỐ_TRẮNG!$I$17="","",CHỈ_SỐ_TRẮNG!$I$17+HỆ_SỐ_PHẨM_CHẤT!$H$7)</f>
        <v/>
      </c>
      <c r="J62" s="30" t="str">
        <f aca="false">IF(CHỈ_SỐ_TRẮNG!$J$17="","",CHỈ_SỐ_TRẮNG!$J$17+HỆ_SỐ_PHẨM_CHẤT!$I$7)</f>
        <v/>
      </c>
      <c r="K62" s="30" t="str">
        <f aca="false">IF(CHỈ_SỐ_TRẮNG!$K$17="","",CHỈ_SỐ_TRẮNG!$K$17+HỆ_SỐ_PHẨM_CHẤT!$J$7)</f>
        <v/>
      </c>
      <c r="L62" s="31" t="str">
        <f aca="false">IF(CHỈ_SỐ_TRẮNG!$L$17="","",CHỈ_SỐ_TRẮNG!$L$17+HỆ_SỐ_PHẨM_CHẤT!$K$7)</f>
        <v/>
      </c>
      <c r="M62" s="30" t="str">
        <f aca="false">IF(CHỈ_SỐ_TRẮNG!$M$17="","",CHỈ_SỐ_TRẮNG!$M$17+HỆ_SỐ_PHẨM_CHẤT!$L$7)</f>
        <v/>
      </c>
      <c r="N62" s="22" t="str">
        <f aca="false">IF(OR(N(I62)&gt;0.1,N(K62)&gt;0.1),"Né/chí mạng vượt 10%","")</f>
        <v/>
      </c>
    </row>
    <row r="63" customFormat="false" ht="15" hidden="false" customHeight="true" outlineLevel="0" collapsed="false">
      <c r="A63" s="22" t="str">
        <f aca="false">NHÂN_VẬT!$A$17</f>
        <v>NV13</v>
      </c>
      <c r="B63" s="22" t="str">
        <f aca="false">IF(NHÂN_VẬT!$B$17="","",NHÂN_VẬT!$B$17)</f>
        <v/>
      </c>
      <c r="C63" s="22" t="str">
        <f aca="false">HỆ_SỐ_PHẨM_CHẤT!$A$8</f>
        <v>Tím</v>
      </c>
      <c r="D63" s="28" t="str">
        <f aca="false">IF(CHỈ_SỐ_TRẮNG!$D$17="","",ROUND(CHỈ_SỐ_TRẮNG!$D$17*HỆ_SỐ_PHẨM_CHẤT!$C$8,0))</f>
        <v/>
      </c>
      <c r="E63" s="28" t="str">
        <f aca="false">IF(CHỈ_SỐ_TRẮNG!$E$17="","",ROUND(CHỈ_SỐ_TRẮNG!$E$17*HỆ_SỐ_PHẨM_CHẤT!$D$8,0))</f>
        <v/>
      </c>
      <c r="F63" s="28" t="str">
        <f aca="false">IF(CHỈ_SỐ_TRẮNG!$F$17="","",ROUND(CHỈ_SỐ_TRẮNG!$F$17*HỆ_SỐ_PHẨM_CHẤT!$E$8,0))</f>
        <v/>
      </c>
      <c r="G63" s="29" t="str">
        <f aca="false">IF(CHỈ_SỐ_TRẮNG!$G$17="","",CHỈ_SỐ_TRẮNG!$G$17+HỆ_SỐ_PHẨM_CHẤT!$G$8)</f>
        <v/>
      </c>
      <c r="H63" s="29" t="str">
        <f aca="false">IF(CHỈ_SỐ_TRẮNG!$H$17="","",ROUND(CHỈ_SỐ_TRẮNG!$H$17*HỆ_SỐ_PHẨM_CHẤT!$F$8,1))</f>
        <v/>
      </c>
      <c r="I63" s="30" t="str">
        <f aca="false">IF(CHỈ_SỐ_TRẮNG!$I$17="","",CHỈ_SỐ_TRẮNG!$I$17+HỆ_SỐ_PHẨM_CHẤT!$H$8)</f>
        <v/>
      </c>
      <c r="J63" s="30" t="str">
        <f aca="false">IF(CHỈ_SỐ_TRẮNG!$J$17="","",CHỈ_SỐ_TRẮNG!$J$17+HỆ_SỐ_PHẨM_CHẤT!$I$8)</f>
        <v/>
      </c>
      <c r="K63" s="30" t="str">
        <f aca="false">IF(CHỈ_SỐ_TRẮNG!$K$17="","",CHỈ_SỐ_TRẮNG!$K$17+HỆ_SỐ_PHẨM_CHẤT!$J$8)</f>
        <v/>
      </c>
      <c r="L63" s="31" t="str">
        <f aca="false">IF(CHỈ_SỐ_TRẮNG!$L$17="","",CHỈ_SỐ_TRẮNG!$L$17+HỆ_SỐ_PHẨM_CHẤT!$K$8)</f>
        <v/>
      </c>
      <c r="M63" s="30" t="str">
        <f aca="false">IF(CHỈ_SỐ_TRẮNG!$M$17="","",CHỈ_SỐ_TRẮNG!$M$17+HỆ_SỐ_PHẨM_CHẤT!$L$8)</f>
        <v/>
      </c>
      <c r="N63" s="22" t="str">
        <f aca="false">IF(OR(N(I63)&gt;0.1,N(K63)&gt;0.1),"Né/chí mạng vượt 10%","")</f>
        <v/>
      </c>
    </row>
    <row r="64" customFormat="false" ht="15" hidden="false" customHeight="true" outlineLevel="0" collapsed="false">
      <c r="A64" s="22" t="str">
        <f aca="false">NHÂN_VẬT!$A$17</f>
        <v>NV13</v>
      </c>
      <c r="B64" s="22" t="str">
        <f aca="false">IF(NHÂN_VẬT!$B$17="","",NHÂN_VẬT!$B$17)</f>
        <v/>
      </c>
      <c r="C64" s="22" t="str">
        <f aca="false">HỆ_SỐ_PHẨM_CHẤT!$A$9</f>
        <v>Đỏ</v>
      </c>
      <c r="D64" s="28" t="str">
        <f aca="false">IF(CHỈ_SỐ_TRẮNG!$D$17="","",ROUND(CHỈ_SỐ_TRẮNG!$D$17*HỆ_SỐ_PHẨM_CHẤT!$C$9,0))</f>
        <v/>
      </c>
      <c r="E64" s="28" t="str">
        <f aca="false">IF(CHỈ_SỐ_TRẮNG!$E$17="","",ROUND(CHỈ_SỐ_TRẮNG!$E$17*HỆ_SỐ_PHẨM_CHẤT!$D$9,0))</f>
        <v/>
      </c>
      <c r="F64" s="28" t="str">
        <f aca="false">IF(CHỈ_SỐ_TRẮNG!$F$17="","",ROUND(CHỈ_SỐ_TRẮNG!$F$17*HỆ_SỐ_PHẨM_CHẤT!$E$9,0))</f>
        <v/>
      </c>
      <c r="G64" s="29" t="str">
        <f aca="false">IF(CHỈ_SỐ_TRẮNG!$G$17="","",CHỈ_SỐ_TRẮNG!$G$17+HỆ_SỐ_PHẨM_CHẤT!$G$9)</f>
        <v/>
      </c>
      <c r="H64" s="29" t="str">
        <f aca="false">IF(CHỈ_SỐ_TRẮNG!$H$17="","",ROUND(CHỈ_SỐ_TRẮNG!$H$17*HỆ_SỐ_PHẨM_CHẤT!$F$9,1))</f>
        <v/>
      </c>
      <c r="I64" s="30" t="str">
        <f aca="false">IF(CHỈ_SỐ_TRẮNG!$I$17="","",CHỈ_SỐ_TRẮNG!$I$17+HỆ_SỐ_PHẨM_CHẤT!$H$9)</f>
        <v/>
      </c>
      <c r="J64" s="30" t="str">
        <f aca="false">IF(CHỈ_SỐ_TRẮNG!$J$17="","",CHỈ_SỐ_TRẮNG!$J$17+HỆ_SỐ_PHẨM_CHẤT!$I$9)</f>
        <v/>
      </c>
      <c r="K64" s="30" t="str">
        <f aca="false">IF(CHỈ_SỐ_TRẮNG!$K$17="","",CHỈ_SỐ_TRẮNG!$K$17+HỆ_SỐ_PHẨM_CHẤT!$J$9)</f>
        <v/>
      </c>
      <c r="L64" s="31" t="str">
        <f aca="false">IF(CHỈ_SỐ_TRẮNG!$L$17="","",CHỈ_SỐ_TRẮNG!$L$17+HỆ_SỐ_PHẨM_CHẤT!$K$9)</f>
        <v/>
      </c>
      <c r="M64" s="30" t="str">
        <f aca="false">IF(CHỈ_SỐ_TRẮNG!$M$17="","",CHỈ_SỐ_TRẮNG!$M$17+HỆ_SỐ_PHẨM_CHẤT!$L$9)</f>
        <v/>
      </c>
      <c r="N64" s="22" t="str">
        <f aca="false">IF(OR(N(I64)&gt;0.1,N(K64)&gt;0.1),"Né/chí mạng vượt 10%","")</f>
        <v/>
      </c>
    </row>
    <row r="65" customFormat="false" ht="15" hidden="false" customHeight="true" outlineLevel="0" collapsed="false">
      <c r="A65" s="22" t="str">
        <f aca="false">NHÂN_VẬT!$A$18</f>
        <v>NV14</v>
      </c>
      <c r="B65" s="22" t="str">
        <f aca="false">IF(NHÂN_VẬT!$B$18="","",NHÂN_VẬT!$B$18)</f>
        <v/>
      </c>
      <c r="C65" s="22" t="str">
        <f aca="false">HỆ_SỐ_PHẨM_CHẤT!$A$5</f>
        <v>Trắng</v>
      </c>
      <c r="D65" s="28" t="str">
        <f aca="false">IF(CHỈ_SỐ_TRẮNG!$D$18="","",ROUND(CHỈ_SỐ_TRẮNG!$D$18*HỆ_SỐ_PHẨM_CHẤT!$C$5,0))</f>
        <v/>
      </c>
      <c r="E65" s="28" t="str">
        <f aca="false">IF(CHỈ_SỐ_TRẮNG!$E$18="","",ROUND(CHỈ_SỐ_TRẮNG!$E$18*HỆ_SỐ_PHẨM_CHẤT!$D$5,0))</f>
        <v/>
      </c>
      <c r="F65" s="28" t="str">
        <f aca="false">IF(CHỈ_SỐ_TRẮNG!$F$18="","",ROUND(CHỈ_SỐ_TRẮNG!$F$18*HỆ_SỐ_PHẨM_CHẤT!$E$5,0))</f>
        <v/>
      </c>
      <c r="G65" s="29" t="str">
        <f aca="false">IF(CHỈ_SỐ_TRẮNG!$G$18="","",CHỈ_SỐ_TRẮNG!$G$18+HỆ_SỐ_PHẨM_CHẤT!$G$5)</f>
        <v/>
      </c>
      <c r="H65" s="29" t="str">
        <f aca="false">IF(CHỈ_SỐ_TRẮNG!$H$18="","",ROUND(CHỈ_SỐ_TRẮNG!$H$18*HỆ_SỐ_PHẨM_CHẤT!$F$5,1))</f>
        <v/>
      </c>
      <c r="I65" s="30" t="str">
        <f aca="false">IF(CHỈ_SỐ_TRẮNG!$I$18="","",CHỈ_SỐ_TRẮNG!$I$18+HỆ_SỐ_PHẨM_CHẤT!$H$5)</f>
        <v/>
      </c>
      <c r="J65" s="30" t="str">
        <f aca="false">IF(CHỈ_SỐ_TRẮNG!$J$18="","",CHỈ_SỐ_TRẮNG!$J$18+HỆ_SỐ_PHẨM_CHẤT!$I$5)</f>
        <v/>
      </c>
      <c r="K65" s="30" t="str">
        <f aca="false">IF(CHỈ_SỐ_TRẮNG!$K$18="","",CHỈ_SỐ_TRẮNG!$K$18+HỆ_SỐ_PHẨM_CHẤT!$J$5)</f>
        <v/>
      </c>
      <c r="L65" s="31" t="str">
        <f aca="false">IF(CHỈ_SỐ_TRẮNG!$L$18="","",CHỈ_SỐ_TRẮNG!$L$18+HỆ_SỐ_PHẨM_CHẤT!$K$5)</f>
        <v/>
      </c>
      <c r="M65" s="30" t="str">
        <f aca="false">IF(CHỈ_SỐ_TRẮNG!$M$18="","",CHỈ_SỐ_TRẮNG!$M$18+HỆ_SỐ_PHẨM_CHẤT!$L$5)</f>
        <v/>
      </c>
      <c r="N65" s="22" t="str">
        <f aca="false">IF(OR(N(I65)&gt;0.1,N(K65)&gt;0.1),"Né/chí mạng vượt 10%","")</f>
        <v/>
      </c>
    </row>
    <row r="66" customFormat="false" ht="15" hidden="false" customHeight="true" outlineLevel="0" collapsed="false">
      <c r="A66" s="22" t="str">
        <f aca="false">NHÂN_VẬT!$A$18</f>
        <v>NV14</v>
      </c>
      <c r="B66" s="22" t="str">
        <f aca="false">IF(NHÂN_VẬT!$B$18="","",NHÂN_VẬT!$B$18)</f>
        <v/>
      </c>
      <c r="C66" s="22" t="str">
        <f aca="false">HỆ_SỐ_PHẨM_CHẤT!$A$6</f>
        <v>Xanh lá</v>
      </c>
      <c r="D66" s="28" t="str">
        <f aca="false">IF(CHỈ_SỐ_TRẮNG!$D$18="","",ROUND(CHỈ_SỐ_TRẮNG!$D$18*HỆ_SỐ_PHẨM_CHẤT!$C$6,0))</f>
        <v/>
      </c>
      <c r="E66" s="28" t="str">
        <f aca="false">IF(CHỈ_SỐ_TRẮNG!$E$18="","",ROUND(CHỈ_SỐ_TRẮNG!$E$18*HỆ_SỐ_PHẨM_CHẤT!$D$6,0))</f>
        <v/>
      </c>
      <c r="F66" s="28" t="str">
        <f aca="false">IF(CHỈ_SỐ_TRẮNG!$F$18="","",ROUND(CHỈ_SỐ_TRẮNG!$F$18*HỆ_SỐ_PHẨM_CHẤT!$E$6,0))</f>
        <v/>
      </c>
      <c r="G66" s="29" t="str">
        <f aca="false">IF(CHỈ_SỐ_TRẮNG!$G$18="","",CHỈ_SỐ_TRẮNG!$G$18+HỆ_SỐ_PHẨM_CHẤT!$G$6)</f>
        <v/>
      </c>
      <c r="H66" s="29" t="str">
        <f aca="false">IF(CHỈ_SỐ_TRẮNG!$H$18="","",ROUND(CHỈ_SỐ_TRẮNG!$H$18*HỆ_SỐ_PHẨM_CHẤT!$F$6,1))</f>
        <v/>
      </c>
      <c r="I66" s="30" t="str">
        <f aca="false">IF(CHỈ_SỐ_TRẮNG!$I$18="","",CHỈ_SỐ_TRẮNG!$I$18+HỆ_SỐ_PHẨM_CHẤT!$H$6)</f>
        <v/>
      </c>
      <c r="J66" s="30" t="str">
        <f aca="false">IF(CHỈ_SỐ_TRẮNG!$J$18="","",CHỈ_SỐ_TRẮNG!$J$18+HỆ_SỐ_PHẨM_CHẤT!$I$6)</f>
        <v/>
      </c>
      <c r="K66" s="30" t="str">
        <f aca="false">IF(CHỈ_SỐ_TRẮNG!$K$18="","",CHỈ_SỐ_TRẮNG!$K$18+HỆ_SỐ_PHẨM_CHẤT!$J$6)</f>
        <v/>
      </c>
      <c r="L66" s="31" t="str">
        <f aca="false">IF(CHỈ_SỐ_TRẮNG!$L$18="","",CHỈ_SỐ_TRẮNG!$L$18+HỆ_SỐ_PHẨM_CHẤT!$K$6)</f>
        <v/>
      </c>
      <c r="M66" s="30" t="str">
        <f aca="false">IF(CHỈ_SỐ_TRẮNG!$M$18="","",CHỈ_SỐ_TRẮNG!$M$18+HỆ_SỐ_PHẨM_CHẤT!$L$6)</f>
        <v/>
      </c>
      <c r="N66" s="22" t="str">
        <f aca="false">IF(OR(N(I66)&gt;0.1,N(K66)&gt;0.1),"Né/chí mạng vượt 10%","")</f>
        <v/>
      </c>
    </row>
    <row r="67" customFormat="false" ht="15" hidden="false" customHeight="true" outlineLevel="0" collapsed="false">
      <c r="A67" s="22" t="str">
        <f aca="false">NHÂN_VẬT!$A$18</f>
        <v>NV14</v>
      </c>
      <c r="B67" s="22" t="str">
        <f aca="false">IF(NHÂN_VẬT!$B$18="","",NHÂN_VẬT!$B$18)</f>
        <v/>
      </c>
      <c r="C67" s="22" t="str">
        <f aca="false">HỆ_SỐ_PHẨM_CHẤT!$A$7</f>
        <v>Xanh dương</v>
      </c>
      <c r="D67" s="28" t="str">
        <f aca="false">IF(CHỈ_SỐ_TRẮNG!$D$18="","",ROUND(CHỈ_SỐ_TRẮNG!$D$18*HỆ_SỐ_PHẨM_CHẤT!$C$7,0))</f>
        <v/>
      </c>
      <c r="E67" s="28" t="str">
        <f aca="false">IF(CHỈ_SỐ_TRẮNG!$E$18="","",ROUND(CHỈ_SỐ_TRẮNG!$E$18*HỆ_SỐ_PHẨM_CHẤT!$D$7,0))</f>
        <v/>
      </c>
      <c r="F67" s="28" t="str">
        <f aca="false">IF(CHỈ_SỐ_TRẮNG!$F$18="","",ROUND(CHỈ_SỐ_TRẮNG!$F$18*HỆ_SỐ_PHẨM_CHẤT!$E$7,0))</f>
        <v/>
      </c>
      <c r="G67" s="29" t="str">
        <f aca="false">IF(CHỈ_SỐ_TRẮNG!$G$18="","",CHỈ_SỐ_TRẮNG!$G$18+HỆ_SỐ_PHẨM_CHẤT!$G$7)</f>
        <v/>
      </c>
      <c r="H67" s="29" t="str">
        <f aca="false">IF(CHỈ_SỐ_TRẮNG!$H$18="","",ROUND(CHỈ_SỐ_TRẮNG!$H$18*HỆ_SỐ_PHẨM_CHẤT!$F$7,1))</f>
        <v/>
      </c>
      <c r="I67" s="30" t="str">
        <f aca="false">IF(CHỈ_SỐ_TRẮNG!$I$18="","",CHỈ_SỐ_TRẮNG!$I$18+HỆ_SỐ_PHẨM_CHẤT!$H$7)</f>
        <v/>
      </c>
      <c r="J67" s="30" t="str">
        <f aca="false">IF(CHỈ_SỐ_TRẮNG!$J$18="","",CHỈ_SỐ_TRẮNG!$J$18+HỆ_SỐ_PHẨM_CHẤT!$I$7)</f>
        <v/>
      </c>
      <c r="K67" s="30" t="str">
        <f aca="false">IF(CHỈ_SỐ_TRẮNG!$K$18="","",CHỈ_SỐ_TRẮNG!$K$18+HỆ_SỐ_PHẨM_CHẤT!$J$7)</f>
        <v/>
      </c>
      <c r="L67" s="31" t="str">
        <f aca="false">IF(CHỈ_SỐ_TRẮNG!$L$18="","",CHỈ_SỐ_TRẮNG!$L$18+HỆ_SỐ_PHẨM_CHẤT!$K$7)</f>
        <v/>
      </c>
      <c r="M67" s="30" t="str">
        <f aca="false">IF(CHỈ_SỐ_TRẮNG!$M$18="","",CHỈ_SỐ_TRẮNG!$M$18+HỆ_SỐ_PHẨM_CHẤT!$L$7)</f>
        <v/>
      </c>
      <c r="N67" s="22" t="str">
        <f aca="false">IF(OR(N(I67)&gt;0.1,N(K67)&gt;0.1),"Né/chí mạng vượt 10%","")</f>
        <v/>
      </c>
    </row>
    <row r="68" customFormat="false" ht="15" hidden="false" customHeight="true" outlineLevel="0" collapsed="false">
      <c r="A68" s="22" t="str">
        <f aca="false">NHÂN_VẬT!$A$18</f>
        <v>NV14</v>
      </c>
      <c r="B68" s="22" t="str">
        <f aca="false">IF(NHÂN_VẬT!$B$18="","",NHÂN_VẬT!$B$18)</f>
        <v/>
      </c>
      <c r="C68" s="22" t="str">
        <f aca="false">HỆ_SỐ_PHẨM_CHẤT!$A$8</f>
        <v>Tím</v>
      </c>
      <c r="D68" s="28" t="str">
        <f aca="false">IF(CHỈ_SỐ_TRẮNG!$D$18="","",ROUND(CHỈ_SỐ_TRẮNG!$D$18*HỆ_SỐ_PHẨM_CHẤT!$C$8,0))</f>
        <v/>
      </c>
      <c r="E68" s="28" t="str">
        <f aca="false">IF(CHỈ_SỐ_TRẮNG!$E$18="","",ROUND(CHỈ_SỐ_TRẮNG!$E$18*HỆ_SỐ_PHẨM_CHẤT!$D$8,0))</f>
        <v/>
      </c>
      <c r="F68" s="28" t="str">
        <f aca="false">IF(CHỈ_SỐ_TRẮNG!$F$18="","",ROUND(CHỈ_SỐ_TRẮNG!$F$18*HỆ_SỐ_PHẨM_CHẤT!$E$8,0))</f>
        <v/>
      </c>
      <c r="G68" s="29" t="str">
        <f aca="false">IF(CHỈ_SỐ_TRẮNG!$G$18="","",CHỈ_SỐ_TRẮNG!$G$18+HỆ_SỐ_PHẨM_CHẤT!$G$8)</f>
        <v/>
      </c>
      <c r="H68" s="29" t="str">
        <f aca="false">IF(CHỈ_SỐ_TRẮNG!$H$18="","",ROUND(CHỈ_SỐ_TRẮNG!$H$18*HỆ_SỐ_PHẨM_CHẤT!$F$8,1))</f>
        <v/>
      </c>
      <c r="I68" s="30" t="str">
        <f aca="false">IF(CHỈ_SỐ_TRẮNG!$I$18="","",CHỈ_SỐ_TRẮNG!$I$18+HỆ_SỐ_PHẨM_CHẤT!$H$8)</f>
        <v/>
      </c>
      <c r="J68" s="30" t="str">
        <f aca="false">IF(CHỈ_SỐ_TRẮNG!$J$18="","",CHỈ_SỐ_TRẮNG!$J$18+HỆ_SỐ_PHẨM_CHẤT!$I$8)</f>
        <v/>
      </c>
      <c r="K68" s="30" t="str">
        <f aca="false">IF(CHỈ_SỐ_TRẮNG!$K$18="","",CHỈ_SỐ_TRẮNG!$K$18+HỆ_SỐ_PHẨM_CHẤT!$J$8)</f>
        <v/>
      </c>
      <c r="L68" s="31" t="str">
        <f aca="false">IF(CHỈ_SỐ_TRẮNG!$L$18="","",CHỈ_SỐ_TRẮNG!$L$18+HỆ_SỐ_PHẨM_CHẤT!$K$8)</f>
        <v/>
      </c>
      <c r="M68" s="30" t="str">
        <f aca="false">IF(CHỈ_SỐ_TRẮNG!$M$18="","",CHỈ_SỐ_TRẮNG!$M$18+HỆ_SỐ_PHẨM_CHẤT!$L$8)</f>
        <v/>
      </c>
      <c r="N68" s="22" t="str">
        <f aca="false">IF(OR(N(I68)&gt;0.1,N(K68)&gt;0.1),"Né/chí mạng vượt 10%","")</f>
        <v/>
      </c>
    </row>
    <row r="69" customFormat="false" ht="15" hidden="false" customHeight="true" outlineLevel="0" collapsed="false">
      <c r="A69" s="22" t="str">
        <f aca="false">NHÂN_VẬT!$A$18</f>
        <v>NV14</v>
      </c>
      <c r="B69" s="22" t="str">
        <f aca="false">IF(NHÂN_VẬT!$B$18="","",NHÂN_VẬT!$B$18)</f>
        <v/>
      </c>
      <c r="C69" s="22" t="str">
        <f aca="false">HỆ_SỐ_PHẨM_CHẤT!$A$9</f>
        <v>Đỏ</v>
      </c>
      <c r="D69" s="28" t="str">
        <f aca="false">IF(CHỈ_SỐ_TRẮNG!$D$18="","",ROUND(CHỈ_SỐ_TRẮNG!$D$18*HỆ_SỐ_PHẨM_CHẤT!$C$9,0))</f>
        <v/>
      </c>
      <c r="E69" s="28" t="str">
        <f aca="false">IF(CHỈ_SỐ_TRẮNG!$E$18="","",ROUND(CHỈ_SỐ_TRẮNG!$E$18*HỆ_SỐ_PHẨM_CHẤT!$D$9,0))</f>
        <v/>
      </c>
      <c r="F69" s="28" t="str">
        <f aca="false">IF(CHỈ_SỐ_TRẮNG!$F$18="","",ROUND(CHỈ_SỐ_TRẮNG!$F$18*HỆ_SỐ_PHẨM_CHẤT!$E$9,0))</f>
        <v/>
      </c>
      <c r="G69" s="29" t="str">
        <f aca="false">IF(CHỈ_SỐ_TRẮNG!$G$18="","",CHỈ_SỐ_TRẮNG!$G$18+HỆ_SỐ_PHẨM_CHẤT!$G$9)</f>
        <v/>
      </c>
      <c r="H69" s="29" t="str">
        <f aca="false">IF(CHỈ_SỐ_TRẮNG!$H$18="","",ROUND(CHỈ_SỐ_TRẮNG!$H$18*HỆ_SỐ_PHẨM_CHẤT!$F$9,1))</f>
        <v/>
      </c>
      <c r="I69" s="30" t="str">
        <f aca="false">IF(CHỈ_SỐ_TRẮNG!$I$18="","",CHỈ_SỐ_TRẮNG!$I$18+HỆ_SỐ_PHẨM_CHẤT!$H$9)</f>
        <v/>
      </c>
      <c r="J69" s="30" t="str">
        <f aca="false">IF(CHỈ_SỐ_TRẮNG!$J$18="","",CHỈ_SỐ_TRẮNG!$J$18+HỆ_SỐ_PHẨM_CHẤT!$I$9)</f>
        <v/>
      </c>
      <c r="K69" s="30" t="str">
        <f aca="false">IF(CHỈ_SỐ_TRẮNG!$K$18="","",CHỈ_SỐ_TRẮNG!$K$18+HỆ_SỐ_PHẨM_CHẤT!$J$9)</f>
        <v/>
      </c>
      <c r="L69" s="31" t="str">
        <f aca="false">IF(CHỈ_SỐ_TRẮNG!$L$18="","",CHỈ_SỐ_TRẮNG!$L$18+HỆ_SỐ_PHẨM_CHẤT!$K$9)</f>
        <v/>
      </c>
      <c r="M69" s="30" t="str">
        <f aca="false">IF(CHỈ_SỐ_TRẮNG!$M$18="","",CHỈ_SỐ_TRẮNG!$M$18+HỆ_SỐ_PHẨM_CHẤT!$L$9)</f>
        <v/>
      </c>
      <c r="N69" s="22" t="str">
        <f aca="false">IF(OR(N(I69)&gt;0.1,N(K69)&gt;0.1),"Né/chí mạng vượt 10%","")</f>
        <v/>
      </c>
    </row>
    <row r="70" customFormat="false" ht="15" hidden="false" customHeight="true" outlineLevel="0" collapsed="false">
      <c r="A70" s="22" t="str">
        <f aca="false">NHÂN_VẬT!$A$19</f>
        <v>NV15</v>
      </c>
      <c r="B70" s="22" t="str">
        <f aca="false">IF(NHÂN_VẬT!$B$19="","",NHÂN_VẬT!$B$19)</f>
        <v/>
      </c>
      <c r="C70" s="22" t="str">
        <f aca="false">HỆ_SỐ_PHẨM_CHẤT!$A$5</f>
        <v>Trắng</v>
      </c>
      <c r="D70" s="28" t="str">
        <f aca="false">IF(CHỈ_SỐ_TRẮNG!$D$19="","",ROUND(CHỈ_SỐ_TRẮNG!$D$19*HỆ_SỐ_PHẨM_CHẤT!$C$5,0))</f>
        <v/>
      </c>
      <c r="E70" s="28" t="str">
        <f aca="false">IF(CHỈ_SỐ_TRẮNG!$E$19="","",ROUND(CHỈ_SỐ_TRẮNG!$E$19*HỆ_SỐ_PHẨM_CHẤT!$D$5,0))</f>
        <v/>
      </c>
      <c r="F70" s="28" t="str">
        <f aca="false">IF(CHỈ_SỐ_TRẮNG!$F$19="","",ROUND(CHỈ_SỐ_TRẮNG!$F$19*HỆ_SỐ_PHẨM_CHẤT!$E$5,0))</f>
        <v/>
      </c>
      <c r="G70" s="29" t="str">
        <f aca="false">IF(CHỈ_SỐ_TRẮNG!$G$19="","",CHỈ_SỐ_TRẮNG!$G$19+HỆ_SỐ_PHẨM_CHẤT!$G$5)</f>
        <v/>
      </c>
      <c r="H70" s="29" t="str">
        <f aca="false">IF(CHỈ_SỐ_TRẮNG!$H$19="","",ROUND(CHỈ_SỐ_TRẮNG!$H$19*HỆ_SỐ_PHẨM_CHẤT!$F$5,1))</f>
        <v/>
      </c>
      <c r="I70" s="30" t="str">
        <f aca="false">IF(CHỈ_SỐ_TRẮNG!$I$19="","",CHỈ_SỐ_TRẮNG!$I$19+HỆ_SỐ_PHẨM_CHẤT!$H$5)</f>
        <v/>
      </c>
      <c r="J70" s="30" t="str">
        <f aca="false">IF(CHỈ_SỐ_TRẮNG!$J$19="","",CHỈ_SỐ_TRẮNG!$J$19+HỆ_SỐ_PHẨM_CHẤT!$I$5)</f>
        <v/>
      </c>
      <c r="K70" s="30" t="str">
        <f aca="false">IF(CHỈ_SỐ_TRẮNG!$K$19="","",CHỈ_SỐ_TRẮNG!$K$19+HỆ_SỐ_PHẨM_CHẤT!$J$5)</f>
        <v/>
      </c>
      <c r="L70" s="31" t="str">
        <f aca="false">IF(CHỈ_SỐ_TRẮNG!$L$19="","",CHỈ_SỐ_TRẮNG!$L$19+HỆ_SỐ_PHẨM_CHẤT!$K$5)</f>
        <v/>
      </c>
      <c r="M70" s="30" t="str">
        <f aca="false">IF(CHỈ_SỐ_TRẮNG!$M$19="","",CHỈ_SỐ_TRẮNG!$M$19+HỆ_SỐ_PHẨM_CHẤT!$L$5)</f>
        <v/>
      </c>
      <c r="N70" s="22" t="str">
        <f aca="false">IF(OR(N(I70)&gt;0.1,N(K70)&gt;0.1),"Né/chí mạng vượt 10%","")</f>
        <v/>
      </c>
    </row>
    <row r="71" customFormat="false" ht="15" hidden="false" customHeight="true" outlineLevel="0" collapsed="false">
      <c r="A71" s="22" t="str">
        <f aca="false">NHÂN_VẬT!$A$19</f>
        <v>NV15</v>
      </c>
      <c r="B71" s="22" t="str">
        <f aca="false">IF(NHÂN_VẬT!$B$19="","",NHÂN_VẬT!$B$19)</f>
        <v/>
      </c>
      <c r="C71" s="22" t="str">
        <f aca="false">HỆ_SỐ_PHẨM_CHẤT!$A$6</f>
        <v>Xanh lá</v>
      </c>
      <c r="D71" s="28" t="str">
        <f aca="false">IF(CHỈ_SỐ_TRẮNG!$D$19="","",ROUND(CHỈ_SỐ_TRẮNG!$D$19*HỆ_SỐ_PHẨM_CHẤT!$C$6,0))</f>
        <v/>
      </c>
      <c r="E71" s="28" t="str">
        <f aca="false">IF(CHỈ_SỐ_TRẮNG!$E$19="","",ROUND(CHỈ_SỐ_TRẮNG!$E$19*HỆ_SỐ_PHẨM_CHẤT!$D$6,0))</f>
        <v/>
      </c>
      <c r="F71" s="28" t="str">
        <f aca="false">IF(CHỈ_SỐ_TRẮNG!$F$19="","",ROUND(CHỈ_SỐ_TRẮNG!$F$19*HỆ_SỐ_PHẨM_CHẤT!$E$6,0))</f>
        <v/>
      </c>
      <c r="G71" s="29" t="str">
        <f aca="false">IF(CHỈ_SỐ_TRẮNG!$G$19="","",CHỈ_SỐ_TRẮNG!$G$19+HỆ_SỐ_PHẨM_CHẤT!$G$6)</f>
        <v/>
      </c>
      <c r="H71" s="29" t="str">
        <f aca="false">IF(CHỈ_SỐ_TRẮNG!$H$19="","",ROUND(CHỈ_SỐ_TRẮNG!$H$19*HỆ_SỐ_PHẨM_CHẤT!$F$6,1))</f>
        <v/>
      </c>
      <c r="I71" s="30" t="str">
        <f aca="false">IF(CHỈ_SỐ_TRẮNG!$I$19="","",CHỈ_SỐ_TRẮNG!$I$19+HỆ_SỐ_PHẨM_CHẤT!$H$6)</f>
        <v/>
      </c>
      <c r="J71" s="30" t="str">
        <f aca="false">IF(CHỈ_SỐ_TRẮNG!$J$19="","",CHỈ_SỐ_TRẮNG!$J$19+HỆ_SỐ_PHẨM_CHẤT!$I$6)</f>
        <v/>
      </c>
      <c r="K71" s="30" t="str">
        <f aca="false">IF(CHỈ_SỐ_TRẮNG!$K$19="","",CHỈ_SỐ_TRẮNG!$K$19+HỆ_SỐ_PHẨM_CHẤT!$J$6)</f>
        <v/>
      </c>
      <c r="L71" s="31" t="str">
        <f aca="false">IF(CHỈ_SỐ_TRẮNG!$L$19="","",CHỈ_SỐ_TRẮNG!$L$19+HỆ_SỐ_PHẨM_CHẤT!$K$6)</f>
        <v/>
      </c>
      <c r="M71" s="30" t="str">
        <f aca="false">IF(CHỈ_SỐ_TRẮNG!$M$19="","",CHỈ_SỐ_TRẮNG!$M$19+HỆ_SỐ_PHẨM_CHẤT!$L$6)</f>
        <v/>
      </c>
      <c r="N71" s="22" t="str">
        <f aca="false">IF(OR(N(I71)&gt;0.1,N(K71)&gt;0.1),"Né/chí mạng vượt 10%","")</f>
        <v/>
      </c>
    </row>
    <row r="72" customFormat="false" ht="15" hidden="false" customHeight="true" outlineLevel="0" collapsed="false">
      <c r="A72" s="22" t="str">
        <f aca="false">NHÂN_VẬT!$A$19</f>
        <v>NV15</v>
      </c>
      <c r="B72" s="22" t="str">
        <f aca="false">IF(NHÂN_VẬT!$B$19="","",NHÂN_VẬT!$B$19)</f>
        <v/>
      </c>
      <c r="C72" s="22" t="str">
        <f aca="false">HỆ_SỐ_PHẨM_CHẤT!$A$7</f>
        <v>Xanh dương</v>
      </c>
      <c r="D72" s="28" t="str">
        <f aca="false">IF(CHỈ_SỐ_TRẮNG!$D$19="","",ROUND(CHỈ_SỐ_TRẮNG!$D$19*HỆ_SỐ_PHẨM_CHẤT!$C$7,0))</f>
        <v/>
      </c>
      <c r="E72" s="28" t="str">
        <f aca="false">IF(CHỈ_SỐ_TRẮNG!$E$19="","",ROUND(CHỈ_SỐ_TRẮNG!$E$19*HỆ_SỐ_PHẨM_CHẤT!$D$7,0))</f>
        <v/>
      </c>
      <c r="F72" s="28" t="str">
        <f aca="false">IF(CHỈ_SỐ_TRẮNG!$F$19="","",ROUND(CHỈ_SỐ_TRẮNG!$F$19*HỆ_SỐ_PHẨM_CHẤT!$E$7,0))</f>
        <v/>
      </c>
      <c r="G72" s="29" t="str">
        <f aca="false">IF(CHỈ_SỐ_TRẮNG!$G$19="","",CHỈ_SỐ_TRẮNG!$G$19+HỆ_SỐ_PHẨM_CHẤT!$G$7)</f>
        <v/>
      </c>
      <c r="H72" s="29" t="str">
        <f aca="false">IF(CHỈ_SỐ_TRẮNG!$H$19="","",ROUND(CHỈ_SỐ_TRẮNG!$H$19*HỆ_SỐ_PHẨM_CHẤT!$F$7,1))</f>
        <v/>
      </c>
      <c r="I72" s="30" t="str">
        <f aca="false">IF(CHỈ_SỐ_TRẮNG!$I$19="","",CHỈ_SỐ_TRẮNG!$I$19+HỆ_SỐ_PHẨM_CHẤT!$H$7)</f>
        <v/>
      </c>
      <c r="J72" s="30" t="str">
        <f aca="false">IF(CHỈ_SỐ_TRẮNG!$J$19="","",CHỈ_SỐ_TRẮNG!$J$19+HỆ_SỐ_PHẨM_CHẤT!$I$7)</f>
        <v/>
      </c>
      <c r="K72" s="30" t="str">
        <f aca="false">IF(CHỈ_SỐ_TRẮNG!$K$19="","",CHỈ_SỐ_TRẮNG!$K$19+HỆ_SỐ_PHẨM_CHẤT!$J$7)</f>
        <v/>
      </c>
      <c r="L72" s="31" t="str">
        <f aca="false">IF(CHỈ_SỐ_TRẮNG!$L$19="","",CHỈ_SỐ_TRẮNG!$L$19+HỆ_SỐ_PHẨM_CHẤT!$K$7)</f>
        <v/>
      </c>
      <c r="M72" s="30" t="str">
        <f aca="false">IF(CHỈ_SỐ_TRẮNG!$M$19="","",CHỈ_SỐ_TRẮNG!$M$19+HỆ_SỐ_PHẨM_CHẤT!$L$7)</f>
        <v/>
      </c>
      <c r="N72" s="22" t="str">
        <f aca="false">IF(OR(N(I72)&gt;0.1,N(K72)&gt;0.1),"Né/chí mạng vượt 10%","")</f>
        <v/>
      </c>
    </row>
    <row r="73" customFormat="false" ht="15" hidden="false" customHeight="true" outlineLevel="0" collapsed="false">
      <c r="A73" s="22" t="str">
        <f aca="false">NHÂN_VẬT!$A$19</f>
        <v>NV15</v>
      </c>
      <c r="B73" s="22" t="str">
        <f aca="false">IF(NHÂN_VẬT!$B$19="","",NHÂN_VẬT!$B$19)</f>
        <v/>
      </c>
      <c r="C73" s="22" t="str">
        <f aca="false">HỆ_SỐ_PHẨM_CHẤT!$A$8</f>
        <v>Tím</v>
      </c>
      <c r="D73" s="28" t="str">
        <f aca="false">IF(CHỈ_SỐ_TRẮNG!$D$19="","",ROUND(CHỈ_SỐ_TRẮNG!$D$19*HỆ_SỐ_PHẨM_CHẤT!$C$8,0))</f>
        <v/>
      </c>
      <c r="E73" s="28" t="str">
        <f aca="false">IF(CHỈ_SỐ_TRẮNG!$E$19="","",ROUND(CHỈ_SỐ_TRẮNG!$E$19*HỆ_SỐ_PHẨM_CHẤT!$D$8,0))</f>
        <v/>
      </c>
      <c r="F73" s="28" t="str">
        <f aca="false">IF(CHỈ_SỐ_TRẮNG!$F$19="","",ROUND(CHỈ_SỐ_TRẮNG!$F$19*HỆ_SỐ_PHẨM_CHẤT!$E$8,0))</f>
        <v/>
      </c>
      <c r="G73" s="29" t="str">
        <f aca="false">IF(CHỈ_SỐ_TRẮNG!$G$19="","",CHỈ_SỐ_TRẮNG!$G$19+HỆ_SỐ_PHẨM_CHẤT!$G$8)</f>
        <v/>
      </c>
      <c r="H73" s="29" t="str">
        <f aca="false">IF(CHỈ_SỐ_TRẮNG!$H$19="","",ROUND(CHỈ_SỐ_TRẮNG!$H$19*HỆ_SỐ_PHẨM_CHẤT!$F$8,1))</f>
        <v/>
      </c>
      <c r="I73" s="30" t="str">
        <f aca="false">IF(CHỈ_SỐ_TRẮNG!$I$19="","",CHỈ_SỐ_TRẮNG!$I$19+HỆ_SỐ_PHẨM_CHẤT!$H$8)</f>
        <v/>
      </c>
      <c r="J73" s="30" t="str">
        <f aca="false">IF(CHỈ_SỐ_TRẮNG!$J$19="","",CHỈ_SỐ_TRẮNG!$J$19+HỆ_SỐ_PHẨM_CHẤT!$I$8)</f>
        <v/>
      </c>
      <c r="K73" s="30" t="str">
        <f aca="false">IF(CHỈ_SỐ_TRẮNG!$K$19="","",CHỈ_SỐ_TRẮNG!$K$19+HỆ_SỐ_PHẨM_CHẤT!$J$8)</f>
        <v/>
      </c>
      <c r="L73" s="31" t="str">
        <f aca="false">IF(CHỈ_SỐ_TRẮNG!$L$19="","",CHỈ_SỐ_TRẮNG!$L$19+HỆ_SỐ_PHẨM_CHẤT!$K$8)</f>
        <v/>
      </c>
      <c r="M73" s="30" t="str">
        <f aca="false">IF(CHỈ_SỐ_TRẮNG!$M$19="","",CHỈ_SỐ_TRẮNG!$M$19+HỆ_SỐ_PHẨM_CHẤT!$L$8)</f>
        <v/>
      </c>
      <c r="N73" s="22" t="str">
        <f aca="false">IF(OR(N(I73)&gt;0.1,N(K73)&gt;0.1),"Né/chí mạng vượt 10%","")</f>
        <v/>
      </c>
    </row>
    <row r="74" customFormat="false" ht="15" hidden="false" customHeight="true" outlineLevel="0" collapsed="false">
      <c r="A74" s="22" t="str">
        <f aca="false">NHÂN_VẬT!$A$19</f>
        <v>NV15</v>
      </c>
      <c r="B74" s="22" t="str">
        <f aca="false">IF(NHÂN_VẬT!$B$19="","",NHÂN_VẬT!$B$19)</f>
        <v/>
      </c>
      <c r="C74" s="22" t="str">
        <f aca="false">HỆ_SỐ_PHẨM_CHẤT!$A$9</f>
        <v>Đỏ</v>
      </c>
      <c r="D74" s="28" t="str">
        <f aca="false">IF(CHỈ_SỐ_TRẮNG!$D$19="","",ROUND(CHỈ_SỐ_TRẮNG!$D$19*HỆ_SỐ_PHẨM_CHẤT!$C$9,0))</f>
        <v/>
      </c>
      <c r="E74" s="28" t="str">
        <f aca="false">IF(CHỈ_SỐ_TRẮNG!$E$19="","",ROUND(CHỈ_SỐ_TRẮNG!$E$19*HỆ_SỐ_PHẨM_CHẤT!$D$9,0))</f>
        <v/>
      </c>
      <c r="F74" s="28" t="str">
        <f aca="false">IF(CHỈ_SỐ_TRẮNG!$F$19="","",ROUND(CHỈ_SỐ_TRẮNG!$F$19*HỆ_SỐ_PHẨM_CHẤT!$E$9,0))</f>
        <v/>
      </c>
      <c r="G74" s="29" t="str">
        <f aca="false">IF(CHỈ_SỐ_TRẮNG!$G$19="","",CHỈ_SỐ_TRẮNG!$G$19+HỆ_SỐ_PHẨM_CHẤT!$G$9)</f>
        <v/>
      </c>
      <c r="H74" s="29" t="str">
        <f aca="false">IF(CHỈ_SỐ_TRẮNG!$H$19="","",ROUND(CHỈ_SỐ_TRẮNG!$H$19*HỆ_SỐ_PHẨM_CHẤT!$F$9,1))</f>
        <v/>
      </c>
      <c r="I74" s="30" t="str">
        <f aca="false">IF(CHỈ_SỐ_TRẮNG!$I$19="","",CHỈ_SỐ_TRẮNG!$I$19+HỆ_SỐ_PHẨM_CHẤT!$H$9)</f>
        <v/>
      </c>
      <c r="J74" s="30" t="str">
        <f aca="false">IF(CHỈ_SỐ_TRẮNG!$J$19="","",CHỈ_SỐ_TRẮNG!$J$19+HỆ_SỐ_PHẨM_CHẤT!$I$9)</f>
        <v/>
      </c>
      <c r="K74" s="30" t="str">
        <f aca="false">IF(CHỈ_SỐ_TRẮNG!$K$19="","",CHỈ_SỐ_TRẮNG!$K$19+HỆ_SỐ_PHẨM_CHẤT!$J$9)</f>
        <v/>
      </c>
      <c r="L74" s="31" t="str">
        <f aca="false">IF(CHỈ_SỐ_TRẮNG!$L$19="","",CHỈ_SỐ_TRẮNG!$L$19+HỆ_SỐ_PHẨM_CHẤT!$K$9)</f>
        <v/>
      </c>
      <c r="M74" s="30" t="str">
        <f aca="false">IF(CHỈ_SỐ_TRẮNG!$M$19="","",CHỈ_SỐ_TRẮNG!$M$19+HỆ_SỐ_PHẨM_CHẤT!$L$9)</f>
        <v/>
      </c>
      <c r="N74" s="22" t="str">
        <f aca="false">IF(OR(N(I74)&gt;0.1,N(K74)&gt;0.1),"Né/chí mạng vượt 10%","")</f>
        <v/>
      </c>
    </row>
    <row r="75" customFormat="false" ht="15" hidden="false" customHeight="true" outlineLevel="0" collapsed="false">
      <c r="A75" s="22" t="str">
        <f aca="false">NHÂN_VẬT!$A$20</f>
        <v>NV16</v>
      </c>
      <c r="B75" s="22" t="str">
        <f aca="false">IF(NHÂN_VẬT!$B$20="","",NHÂN_VẬT!$B$20)</f>
        <v/>
      </c>
      <c r="C75" s="22" t="str">
        <f aca="false">HỆ_SỐ_PHẨM_CHẤT!$A$5</f>
        <v>Trắng</v>
      </c>
      <c r="D75" s="28" t="str">
        <f aca="false">IF(CHỈ_SỐ_TRẮNG!$D$20="","",ROUND(CHỈ_SỐ_TRẮNG!$D$20*HỆ_SỐ_PHẨM_CHẤT!$C$5,0))</f>
        <v/>
      </c>
      <c r="E75" s="28" t="str">
        <f aca="false">IF(CHỈ_SỐ_TRẮNG!$E$20="","",ROUND(CHỈ_SỐ_TRẮNG!$E$20*HỆ_SỐ_PHẨM_CHẤT!$D$5,0))</f>
        <v/>
      </c>
      <c r="F75" s="28" t="str">
        <f aca="false">IF(CHỈ_SỐ_TRẮNG!$F$20="","",ROUND(CHỈ_SỐ_TRẮNG!$F$20*HỆ_SỐ_PHẨM_CHẤT!$E$5,0))</f>
        <v/>
      </c>
      <c r="G75" s="29" t="str">
        <f aca="false">IF(CHỈ_SỐ_TRẮNG!$G$20="","",CHỈ_SỐ_TRẮNG!$G$20+HỆ_SỐ_PHẨM_CHẤT!$G$5)</f>
        <v/>
      </c>
      <c r="H75" s="29" t="str">
        <f aca="false">IF(CHỈ_SỐ_TRẮNG!$H$20="","",ROUND(CHỈ_SỐ_TRẮNG!$H$20*HỆ_SỐ_PHẨM_CHẤT!$F$5,1))</f>
        <v/>
      </c>
      <c r="I75" s="30" t="str">
        <f aca="false">IF(CHỈ_SỐ_TRẮNG!$I$20="","",CHỈ_SỐ_TRẮNG!$I$20+HỆ_SỐ_PHẨM_CHẤT!$H$5)</f>
        <v/>
      </c>
      <c r="J75" s="30" t="str">
        <f aca="false">IF(CHỈ_SỐ_TRẮNG!$J$20="","",CHỈ_SỐ_TRẮNG!$J$20+HỆ_SỐ_PHẨM_CHẤT!$I$5)</f>
        <v/>
      </c>
      <c r="K75" s="30" t="str">
        <f aca="false">IF(CHỈ_SỐ_TRẮNG!$K$20="","",CHỈ_SỐ_TRẮNG!$K$20+HỆ_SỐ_PHẨM_CHẤT!$J$5)</f>
        <v/>
      </c>
      <c r="L75" s="31" t="str">
        <f aca="false">IF(CHỈ_SỐ_TRẮNG!$L$20="","",CHỈ_SỐ_TRẮNG!$L$20+HỆ_SỐ_PHẨM_CHẤT!$K$5)</f>
        <v/>
      </c>
      <c r="M75" s="30" t="str">
        <f aca="false">IF(CHỈ_SỐ_TRẮNG!$M$20="","",CHỈ_SỐ_TRẮNG!$M$20+HỆ_SỐ_PHẨM_CHẤT!$L$5)</f>
        <v/>
      </c>
      <c r="N75" s="22" t="str">
        <f aca="false">IF(OR(N(I75)&gt;0.1,N(K75)&gt;0.1),"Né/chí mạng vượt 10%","")</f>
        <v/>
      </c>
    </row>
    <row r="76" customFormat="false" ht="15" hidden="false" customHeight="true" outlineLevel="0" collapsed="false">
      <c r="A76" s="22" t="str">
        <f aca="false">NHÂN_VẬT!$A$20</f>
        <v>NV16</v>
      </c>
      <c r="B76" s="22" t="str">
        <f aca="false">IF(NHÂN_VẬT!$B$20="","",NHÂN_VẬT!$B$20)</f>
        <v/>
      </c>
      <c r="C76" s="22" t="str">
        <f aca="false">HỆ_SỐ_PHẨM_CHẤT!$A$6</f>
        <v>Xanh lá</v>
      </c>
      <c r="D76" s="28" t="str">
        <f aca="false">IF(CHỈ_SỐ_TRẮNG!$D$20="","",ROUND(CHỈ_SỐ_TRẮNG!$D$20*HỆ_SỐ_PHẨM_CHẤT!$C$6,0))</f>
        <v/>
      </c>
      <c r="E76" s="28" t="str">
        <f aca="false">IF(CHỈ_SỐ_TRẮNG!$E$20="","",ROUND(CHỈ_SỐ_TRẮNG!$E$20*HỆ_SỐ_PHẨM_CHẤT!$D$6,0))</f>
        <v/>
      </c>
      <c r="F76" s="28" t="str">
        <f aca="false">IF(CHỈ_SỐ_TRẮNG!$F$20="","",ROUND(CHỈ_SỐ_TRẮNG!$F$20*HỆ_SỐ_PHẨM_CHẤT!$E$6,0))</f>
        <v/>
      </c>
      <c r="G76" s="29" t="str">
        <f aca="false">IF(CHỈ_SỐ_TRẮNG!$G$20="","",CHỈ_SỐ_TRẮNG!$G$20+HỆ_SỐ_PHẨM_CHẤT!$G$6)</f>
        <v/>
      </c>
      <c r="H76" s="29" t="str">
        <f aca="false">IF(CHỈ_SỐ_TRẮNG!$H$20="","",ROUND(CHỈ_SỐ_TRẮNG!$H$20*HỆ_SỐ_PHẨM_CHẤT!$F$6,1))</f>
        <v/>
      </c>
      <c r="I76" s="30" t="str">
        <f aca="false">IF(CHỈ_SỐ_TRẮNG!$I$20="","",CHỈ_SỐ_TRẮNG!$I$20+HỆ_SỐ_PHẨM_CHẤT!$H$6)</f>
        <v/>
      </c>
      <c r="J76" s="30" t="str">
        <f aca="false">IF(CHỈ_SỐ_TRẮNG!$J$20="","",CHỈ_SỐ_TRẮNG!$J$20+HỆ_SỐ_PHẨM_CHẤT!$I$6)</f>
        <v/>
      </c>
      <c r="K76" s="30" t="str">
        <f aca="false">IF(CHỈ_SỐ_TRẮNG!$K$20="","",CHỈ_SỐ_TRẮNG!$K$20+HỆ_SỐ_PHẨM_CHẤT!$J$6)</f>
        <v/>
      </c>
      <c r="L76" s="31" t="str">
        <f aca="false">IF(CHỈ_SỐ_TRẮNG!$L$20="","",CHỈ_SỐ_TRẮNG!$L$20+HỆ_SỐ_PHẨM_CHẤT!$K$6)</f>
        <v/>
      </c>
      <c r="M76" s="30" t="str">
        <f aca="false">IF(CHỈ_SỐ_TRẮNG!$M$20="","",CHỈ_SỐ_TRẮNG!$M$20+HỆ_SỐ_PHẨM_CHẤT!$L$6)</f>
        <v/>
      </c>
      <c r="N76" s="22" t="str">
        <f aca="false">IF(OR(N(I76)&gt;0.1,N(K76)&gt;0.1),"Né/chí mạng vượt 10%","")</f>
        <v/>
      </c>
    </row>
    <row r="77" customFormat="false" ht="15" hidden="false" customHeight="true" outlineLevel="0" collapsed="false">
      <c r="A77" s="22" t="str">
        <f aca="false">NHÂN_VẬT!$A$20</f>
        <v>NV16</v>
      </c>
      <c r="B77" s="22" t="str">
        <f aca="false">IF(NHÂN_VẬT!$B$20="","",NHÂN_VẬT!$B$20)</f>
        <v/>
      </c>
      <c r="C77" s="22" t="str">
        <f aca="false">HỆ_SỐ_PHẨM_CHẤT!$A$7</f>
        <v>Xanh dương</v>
      </c>
      <c r="D77" s="28" t="str">
        <f aca="false">IF(CHỈ_SỐ_TRẮNG!$D$20="","",ROUND(CHỈ_SỐ_TRẮNG!$D$20*HỆ_SỐ_PHẨM_CHẤT!$C$7,0))</f>
        <v/>
      </c>
      <c r="E77" s="28" t="str">
        <f aca="false">IF(CHỈ_SỐ_TRẮNG!$E$20="","",ROUND(CHỈ_SỐ_TRẮNG!$E$20*HỆ_SỐ_PHẨM_CHẤT!$D$7,0))</f>
        <v/>
      </c>
      <c r="F77" s="28" t="str">
        <f aca="false">IF(CHỈ_SỐ_TRẮNG!$F$20="","",ROUND(CHỈ_SỐ_TRẮNG!$F$20*HỆ_SỐ_PHẨM_CHẤT!$E$7,0))</f>
        <v/>
      </c>
      <c r="G77" s="29" t="str">
        <f aca="false">IF(CHỈ_SỐ_TRẮNG!$G$20="","",CHỈ_SỐ_TRẮNG!$G$20+HỆ_SỐ_PHẨM_CHẤT!$G$7)</f>
        <v/>
      </c>
      <c r="H77" s="29" t="str">
        <f aca="false">IF(CHỈ_SỐ_TRẮNG!$H$20="","",ROUND(CHỈ_SỐ_TRẮNG!$H$20*HỆ_SỐ_PHẨM_CHẤT!$F$7,1))</f>
        <v/>
      </c>
      <c r="I77" s="30" t="str">
        <f aca="false">IF(CHỈ_SỐ_TRẮNG!$I$20="","",CHỈ_SỐ_TRẮNG!$I$20+HỆ_SỐ_PHẨM_CHẤT!$H$7)</f>
        <v/>
      </c>
      <c r="J77" s="30" t="str">
        <f aca="false">IF(CHỈ_SỐ_TRẮNG!$J$20="","",CHỈ_SỐ_TRẮNG!$J$20+HỆ_SỐ_PHẨM_CHẤT!$I$7)</f>
        <v/>
      </c>
      <c r="K77" s="30" t="str">
        <f aca="false">IF(CHỈ_SỐ_TRẮNG!$K$20="","",CHỈ_SỐ_TRẮNG!$K$20+HỆ_SỐ_PHẨM_CHẤT!$J$7)</f>
        <v/>
      </c>
      <c r="L77" s="31" t="str">
        <f aca="false">IF(CHỈ_SỐ_TRẮNG!$L$20="","",CHỈ_SỐ_TRẮNG!$L$20+HỆ_SỐ_PHẨM_CHẤT!$K$7)</f>
        <v/>
      </c>
      <c r="M77" s="30" t="str">
        <f aca="false">IF(CHỈ_SỐ_TRẮNG!$M$20="","",CHỈ_SỐ_TRẮNG!$M$20+HỆ_SỐ_PHẨM_CHẤT!$L$7)</f>
        <v/>
      </c>
      <c r="N77" s="22" t="str">
        <f aca="false">IF(OR(N(I77)&gt;0.1,N(K77)&gt;0.1),"Né/chí mạng vượt 10%","")</f>
        <v/>
      </c>
    </row>
    <row r="78" customFormat="false" ht="15" hidden="false" customHeight="true" outlineLevel="0" collapsed="false">
      <c r="A78" s="22" t="str">
        <f aca="false">NHÂN_VẬT!$A$20</f>
        <v>NV16</v>
      </c>
      <c r="B78" s="22" t="str">
        <f aca="false">IF(NHÂN_VẬT!$B$20="","",NHÂN_VẬT!$B$20)</f>
        <v/>
      </c>
      <c r="C78" s="22" t="str">
        <f aca="false">HỆ_SỐ_PHẨM_CHẤT!$A$8</f>
        <v>Tím</v>
      </c>
      <c r="D78" s="28" t="str">
        <f aca="false">IF(CHỈ_SỐ_TRẮNG!$D$20="","",ROUND(CHỈ_SỐ_TRẮNG!$D$20*HỆ_SỐ_PHẨM_CHẤT!$C$8,0))</f>
        <v/>
      </c>
      <c r="E78" s="28" t="str">
        <f aca="false">IF(CHỈ_SỐ_TRẮNG!$E$20="","",ROUND(CHỈ_SỐ_TRẮNG!$E$20*HỆ_SỐ_PHẨM_CHẤT!$D$8,0))</f>
        <v/>
      </c>
      <c r="F78" s="28" t="str">
        <f aca="false">IF(CHỈ_SỐ_TRẮNG!$F$20="","",ROUND(CHỈ_SỐ_TRẮNG!$F$20*HỆ_SỐ_PHẨM_CHẤT!$E$8,0))</f>
        <v/>
      </c>
      <c r="G78" s="29" t="str">
        <f aca="false">IF(CHỈ_SỐ_TRẮNG!$G$20="","",CHỈ_SỐ_TRẮNG!$G$20+HỆ_SỐ_PHẨM_CHẤT!$G$8)</f>
        <v/>
      </c>
      <c r="H78" s="29" t="str">
        <f aca="false">IF(CHỈ_SỐ_TRẮNG!$H$20="","",ROUND(CHỈ_SỐ_TRẮNG!$H$20*HỆ_SỐ_PHẨM_CHẤT!$F$8,1))</f>
        <v/>
      </c>
      <c r="I78" s="30" t="str">
        <f aca="false">IF(CHỈ_SỐ_TRẮNG!$I$20="","",CHỈ_SỐ_TRẮNG!$I$20+HỆ_SỐ_PHẨM_CHẤT!$H$8)</f>
        <v/>
      </c>
      <c r="J78" s="30" t="str">
        <f aca="false">IF(CHỈ_SỐ_TRẮNG!$J$20="","",CHỈ_SỐ_TRẮNG!$J$20+HỆ_SỐ_PHẨM_CHẤT!$I$8)</f>
        <v/>
      </c>
      <c r="K78" s="30" t="str">
        <f aca="false">IF(CHỈ_SỐ_TRẮNG!$K$20="","",CHỈ_SỐ_TRẮNG!$K$20+HỆ_SỐ_PHẨM_CHẤT!$J$8)</f>
        <v/>
      </c>
      <c r="L78" s="31" t="str">
        <f aca="false">IF(CHỈ_SỐ_TRẮNG!$L$20="","",CHỈ_SỐ_TRẮNG!$L$20+HỆ_SỐ_PHẨM_CHẤT!$K$8)</f>
        <v/>
      </c>
      <c r="M78" s="30" t="str">
        <f aca="false">IF(CHỈ_SỐ_TRẮNG!$M$20="","",CHỈ_SỐ_TRẮNG!$M$20+HỆ_SỐ_PHẨM_CHẤT!$L$8)</f>
        <v/>
      </c>
      <c r="N78" s="22" t="str">
        <f aca="false">IF(OR(N(I78)&gt;0.1,N(K78)&gt;0.1),"Né/chí mạng vượt 10%","")</f>
        <v/>
      </c>
    </row>
    <row r="79" customFormat="false" ht="15" hidden="false" customHeight="true" outlineLevel="0" collapsed="false">
      <c r="A79" s="22" t="str">
        <f aca="false">NHÂN_VẬT!$A$20</f>
        <v>NV16</v>
      </c>
      <c r="B79" s="22" t="str">
        <f aca="false">IF(NHÂN_VẬT!$B$20="","",NHÂN_VẬT!$B$20)</f>
        <v/>
      </c>
      <c r="C79" s="22" t="str">
        <f aca="false">HỆ_SỐ_PHẨM_CHẤT!$A$9</f>
        <v>Đỏ</v>
      </c>
      <c r="D79" s="28" t="str">
        <f aca="false">IF(CHỈ_SỐ_TRẮNG!$D$20="","",ROUND(CHỈ_SỐ_TRẮNG!$D$20*HỆ_SỐ_PHẨM_CHẤT!$C$9,0))</f>
        <v/>
      </c>
      <c r="E79" s="28" t="str">
        <f aca="false">IF(CHỈ_SỐ_TRẮNG!$E$20="","",ROUND(CHỈ_SỐ_TRẮNG!$E$20*HỆ_SỐ_PHẨM_CHẤT!$D$9,0))</f>
        <v/>
      </c>
      <c r="F79" s="28" t="str">
        <f aca="false">IF(CHỈ_SỐ_TRẮNG!$F$20="","",ROUND(CHỈ_SỐ_TRẮNG!$F$20*HỆ_SỐ_PHẨM_CHẤT!$E$9,0))</f>
        <v/>
      </c>
      <c r="G79" s="29" t="str">
        <f aca="false">IF(CHỈ_SỐ_TRẮNG!$G$20="","",CHỈ_SỐ_TRẮNG!$G$20+HỆ_SỐ_PHẨM_CHẤT!$G$9)</f>
        <v/>
      </c>
      <c r="H79" s="29" t="str">
        <f aca="false">IF(CHỈ_SỐ_TRẮNG!$H$20="","",ROUND(CHỈ_SỐ_TRẮNG!$H$20*HỆ_SỐ_PHẨM_CHẤT!$F$9,1))</f>
        <v/>
      </c>
      <c r="I79" s="30" t="str">
        <f aca="false">IF(CHỈ_SỐ_TRẮNG!$I$20="","",CHỈ_SỐ_TRẮNG!$I$20+HỆ_SỐ_PHẨM_CHẤT!$H$9)</f>
        <v/>
      </c>
      <c r="J79" s="30" t="str">
        <f aca="false">IF(CHỈ_SỐ_TRẮNG!$J$20="","",CHỈ_SỐ_TRẮNG!$J$20+HỆ_SỐ_PHẨM_CHẤT!$I$9)</f>
        <v/>
      </c>
      <c r="K79" s="30" t="str">
        <f aca="false">IF(CHỈ_SỐ_TRẮNG!$K$20="","",CHỈ_SỐ_TRẮNG!$K$20+HỆ_SỐ_PHẨM_CHẤT!$J$9)</f>
        <v/>
      </c>
      <c r="L79" s="31" t="str">
        <f aca="false">IF(CHỈ_SỐ_TRẮNG!$L$20="","",CHỈ_SỐ_TRẮNG!$L$20+HỆ_SỐ_PHẨM_CHẤT!$K$9)</f>
        <v/>
      </c>
      <c r="M79" s="30" t="str">
        <f aca="false">IF(CHỈ_SỐ_TRẮNG!$M$20="","",CHỈ_SỐ_TRẮNG!$M$20+HỆ_SỐ_PHẨM_CHẤT!$L$9)</f>
        <v/>
      </c>
      <c r="N79" s="22" t="str">
        <f aca="false">IF(OR(N(I79)&gt;0.1,N(K79)&gt;0.1),"Né/chí mạng vượt 10%","")</f>
        <v/>
      </c>
    </row>
    <row r="80" customFormat="false" ht="15" hidden="false" customHeight="true" outlineLevel="0" collapsed="false">
      <c r="A80" s="22" t="str">
        <f aca="false">NHÂN_VẬT!$A$21</f>
        <v>NV17</v>
      </c>
      <c r="B80" s="22" t="str">
        <f aca="false">IF(NHÂN_VẬT!$B$21="","",NHÂN_VẬT!$B$21)</f>
        <v/>
      </c>
      <c r="C80" s="22" t="str">
        <f aca="false">HỆ_SỐ_PHẨM_CHẤT!$A$5</f>
        <v>Trắng</v>
      </c>
      <c r="D80" s="28" t="str">
        <f aca="false">IF(CHỈ_SỐ_TRẮNG!$D$21="","",ROUND(CHỈ_SỐ_TRẮNG!$D$21*HỆ_SỐ_PHẨM_CHẤT!$C$5,0))</f>
        <v/>
      </c>
      <c r="E80" s="28" t="str">
        <f aca="false">IF(CHỈ_SỐ_TRẮNG!$E$21="","",ROUND(CHỈ_SỐ_TRẮNG!$E$21*HỆ_SỐ_PHẨM_CHẤT!$D$5,0))</f>
        <v/>
      </c>
      <c r="F80" s="28" t="str">
        <f aca="false">IF(CHỈ_SỐ_TRẮNG!$F$21="","",ROUND(CHỈ_SỐ_TRẮNG!$F$21*HỆ_SỐ_PHẨM_CHẤT!$E$5,0))</f>
        <v/>
      </c>
      <c r="G80" s="29" t="str">
        <f aca="false">IF(CHỈ_SỐ_TRẮNG!$G$21="","",CHỈ_SỐ_TRẮNG!$G$21+HỆ_SỐ_PHẨM_CHẤT!$G$5)</f>
        <v/>
      </c>
      <c r="H80" s="29" t="str">
        <f aca="false">IF(CHỈ_SỐ_TRẮNG!$H$21="","",ROUND(CHỈ_SỐ_TRẮNG!$H$21*HỆ_SỐ_PHẨM_CHẤT!$F$5,1))</f>
        <v/>
      </c>
      <c r="I80" s="30" t="str">
        <f aca="false">IF(CHỈ_SỐ_TRẮNG!$I$21="","",CHỈ_SỐ_TRẮNG!$I$21+HỆ_SỐ_PHẨM_CHẤT!$H$5)</f>
        <v/>
      </c>
      <c r="J80" s="30" t="str">
        <f aca="false">IF(CHỈ_SỐ_TRẮNG!$J$21="","",CHỈ_SỐ_TRẮNG!$J$21+HỆ_SỐ_PHẨM_CHẤT!$I$5)</f>
        <v/>
      </c>
      <c r="K80" s="30" t="str">
        <f aca="false">IF(CHỈ_SỐ_TRẮNG!$K$21="","",CHỈ_SỐ_TRẮNG!$K$21+HỆ_SỐ_PHẨM_CHẤT!$J$5)</f>
        <v/>
      </c>
      <c r="L80" s="31" t="str">
        <f aca="false">IF(CHỈ_SỐ_TRẮNG!$L$21="","",CHỈ_SỐ_TRẮNG!$L$21+HỆ_SỐ_PHẨM_CHẤT!$K$5)</f>
        <v/>
      </c>
      <c r="M80" s="30" t="str">
        <f aca="false">IF(CHỈ_SỐ_TRẮNG!$M$21="","",CHỈ_SỐ_TRẮNG!$M$21+HỆ_SỐ_PHẨM_CHẤT!$L$5)</f>
        <v/>
      </c>
      <c r="N80" s="22" t="str">
        <f aca="false">IF(OR(N(I80)&gt;0.1,N(K80)&gt;0.1),"Né/chí mạng vượt 10%","")</f>
        <v/>
      </c>
    </row>
    <row r="81" customFormat="false" ht="15" hidden="false" customHeight="true" outlineLevel="0" collapsed="false">
      <c r="A81" s="22" t="str">
        <f aca="false">NHÂN_VẬT!$A$21</f>
        <v>NV17</v>
      </c>
      <c r="B81" s="22" t="str">
        <f aca="false">IF(NHÂN_VẬT!$B$21="","",NHÂN_VẬT!$B$21)</f>
        <v/>
      </c>
      <c r="C81" s="22" t="str">
        <f aca="false">HỆ_SỐ_PHẨM_CHẤT!$A$6</f>
        <v>Xanh lá</v>
      </c>
      <c r="D81" s="28" t="str">
        <f aca="false">IF(CHỈ_SỐ_TRẮNG!$D$21="","",ROUND(CHỈ_SỐ_TRẮNG!$D$21*HỆ_SỐ_PHẨM_CHẤT!$C$6,0))</f>
        <v/>
      </c>
      <c r="E81" s="28" t="str">
        <f aca="false">IF(CHỈ_SỐ_TRẮNG!$E$21="","",ROUND(CHỈ_SỐ_TRẮNG!$E$21*HỆ_SỐ_PHẨM_CHẤT!$D$6,0))</f>
        <v/>
      </c>
      <c r="F81" s="28" t="str">
        <f aca="false">IF(CHỈ_SỐ_TRẮNG!$F$21="","",ROUND(CHỈ_SỐ_TRẮNG!$F$21*HỆ_SỐ_PHẨM_CHẤT!$E$6,0))</f>
        <v/>
      </c>
      <c r="G81" s="29" t="str">
        <f aca="false">IF(CHỈ_SỐ_TRẮNG!$G$21="","",CHỈ_SỐ_TRẮNG!$G$21+HỆ_SỐ_PHẨM_CHẤT!$G$6)</f>
        <v/>
      </c>
      <c r="H81" s="29" t="str">
        <f aca="false">IF(CHỈ_SỐ_TRẮNG!$H$21="","",ROUND(CHỈ_SỐ_TRẮNG!$H$21*HỆ_SỐ_PHẨM_CHẤT!$F$6,1))</f>
        <v/>
      </c>
      <c r="I81" s="30" t="str">
        <f aca="false">IF(CHỈ_SỐ_TRẮNG!$I$21="","",CHỈ_SỐ_TRẮNG!$I$21+HỆ_SỐ_PHẨM_CHẤT!$H$6)</f>
        <v/>
      </c>
      <c r="J81" s="30" t="str">
        <f aca="false">IF(CHỈ_SỐ_TRẮNG!$J$21="","",CHỈ_SỐ_TRẮNG!$J$21+HỆ_SỐ_PHẨM_CHẤT!$I$6)</f>
        <v/>
      </c>
      <c r="K81" s="30" t="str">
        <f aca="false">IF(CHỈ_SỐ_TRẮNG!$K$21="","",CHỈ_SỐ_TRẮNG!$K$21+HỆ_SỐ_PHẨM_CHẤT!$J$6)</f>
        <v/>
      </c>
      <c r="L81" s="31" t="str">
        <f aca="false">IF(CHỈ_SỐ_TRẮNG!$L$21="","",CHỈ_SỐ_TRẮNG!$L$21+HỆ_SỐ_PHẨM_CHẤT!$K$6)</f>
        <v/>
      </c>
      <c r="M81" s="30" t="str">
        <f aca="false">IF(CHỈ_SỐ_TRẮNG!$M$21="","",CHỈ_SỐ_TRẮNG!$M$21+HỆ_SỐ_PHẨM_CHẤT!$L$6)</f>
        <v/>
      </c>
      <c r="N81" s="22" t="str">
        <f aca="false">IF(OR(N(I81)&gt;0.1,N(K81)&gt;0.1),"Né/chí mạng vượt 10%","")</f>
        <v/>
      </c>
    </row>
    <row r="82" customFormat="false" ht="15" hidden="false" customHeight="true" outlineLevel="0" collapsed="false">
      <c r="A82" s="22" t="str">
        <f aca="false">NHÂN_VẬT!$A$21</f>
        <v>NV17</v>
      </c>
      <c r="B82" s="22" t="str">
        <f aca="false">IF(NHÂN_VẬT!$B$21="","",NHÂN_VẬT!$B$21)</f>
        <v/>
      </c>
      <c r="C82" s="22" t="str">
        <f aca="false">HỆ_SỐ_PHẨM_CHẤT!$A$7</f>
        <v>Xanh dương</v>
      </c>
      <c r="D82" s="28" t="str">
        <f aca="false">IF(CHỈ_SỐ_TRẮNG!$D$21="","",ROUND(CHỈ_SỐ_TRẮNG!$D$21*HỆ_SỐ_PHẨM_CHẤT!$C$7,0))</f>
        <v/>
      </c>
      <c r="E82" s="28" t="str">
        <f aca="false">IF(CHỈ_SỐ_TRẮNG!$E$21="","",ROUND(CHỈ_SỐ_TRẮNG!$E$21*HỆ_SỐ_PHẨM_CHẤT!$D$7,0))</f>
        <v/>
      </c>
      <c r="F82" s="28" t="str">
        <f aca="false">IF(CHỈ_SỐ_TRẮNG!$F$21="","",ROUND(CHỈ_SỐ_TRẮNG!$F$21*HỆ_SỐ_PHẨM_CHẤT!$E$7,0))</f>
        <v/>
      </c>
      <c r="G82" s="29" t="str">
        <f aca="false">IF(CHỈ_SỐ_TRẮNG!$G$21="","",CHỈ_SỐ_TRẮNG!$G$21+HỆ_SỐ_PHẨM_CHẤT!$G$7)</f>
        <v/>
      </c>
      <c r="H82" s="29" t="str">
        <f aca="false">IF(CHỈ_SỐ_TRẮNG!$H$21="","",ROUND(CHỈ_SỐ_TRẮNG!$H$21*HỆ_SỐ_PHẨM_CHẤT!$F$7,1))</f>
        <v/>
      </c>
      <c r="I82" s="30" t="str">
        <f aca="false">IF(CHỈ_SỐ_TRẮNG!$I$21="","",CHỈ_SỐ_TRẮNG!$I$21+HỆ_SỐ_PHẨM_CHẤT!$H$7)</f>
        <v/>
      </c>
      <c r="J82" s="30" t="str">
        <f aca="false">IF(CHỈ_SỐ_TRẮNG!$J$21="","",CHỈ_SỐ_TRẮNG!$J$21+HỆ_SỐ_PHẨM_CHẤT!$I$7)</f>
        <v/>
      </c>
      <c r="K82" s="30" t="str">
        <f aca="false">IF(CHỈ_SỐ_TRẮNG!$K$21="","",CHỈ_SỐ_TRẮNG!$K$21+HỆ_SỐ_PHẨM_CHẤT!$J$7)</f>
        <v/>
      </c>
      <c r="L82" s="31" t="str">
        <f aca="false">IF(CHỈ_SỐ_TRẮNG!$L$21="","",CHỈ_SỐ_TRẮNG!$L$21+HỆ_SỐ_PHẨM_CHẤT!$K$7)</f>
        <v/>
      </c>
      <c r="M82" s="30" t="str">
        <f aca="false">IF(CHỈ_SỐ_TRẮNG!$M$21="","",CHỈ_SỐ_TRẮNG!$M$21+HỆ_SỐ_PHẨM_CHẤT!$L$7)</f>
        <v/>
      </c>
      <c r="N82" s="22" t="str">
        <f aca="false">IF(OR(N(I82)&gt;0.1,N(K82)&gt;0.1),"Né/chí mạng vượt 10%","")</f>
        <v/>
      </c>
    </row>
    <row r="83" customFormat="false" ht="15" hidden="false" customHeight="true" outlineLevel="0" collapsed="false">
      <c r="A83" s="22" t="str">
        <f aca="false">NHÂN_VẬT!$A$21</f>
        <v>NV17</v>
      </c>
      <c r="B83" s="22" t="str">
        <f aca="false">IF(NHÂN_VẬT!$B$21="","",NHÂN_VẬT!$B$21)</f>
        <v/>
      </c>
      <c r="C83" s="22" t="str">
        <f aca="false">HỆ_SỐ_PHẨM_CHẤT!$A$8</f>
        <v>Tím</v>
      </c>
      <c r="D83" s="28" t="str">
        <f aca="false">IF(CHỈ_SỐ_TRẮNG!$D$21="","",ROUND(CHỈ_SỐ_TRẮNG!$D$21*HỆ_SỐ_PHẨM_CHẤT!$C$8,0))</f>
        <v/>
      </c>
      <c r="E83" s="28" t="str">
        <f aca="false">IF(CHỈ_SỐ_TRẮNG!$E$21="","",ROUND(CHỈ_SỐ_TRẮNG!$E$21*HỆ_SỐ_PHẨM_CHẤT!$D$8,0))</f>
        <v/>
      </c>
      <c r="F83" s="28" t="str">
        <f aca="false">IF(CHỈ_SỐ_TRẮNG!$F$21="","",ROUND(CHỈ_SỐ_TRẮNG!$F$21*HỆ_SỐ_PHẨM_CHẤT!$E$8,0))</f>
        <v/>
      </c>
      <c r="G83" s="29" t="str">
        <f aca="false">IF(CHỈ_SỐ_TRẮNG!$G$21="","",CHỈ_SỐ_TRẮNG!$G$21+HỆ_SỐ_PHẨM_CHẤT!$G$8)</f>
        <v/>
      </c>
      <c r="H83" s="29" t="str">
        <f aca="false">IF(CHỈ_SỐ_TRẮNG!$H$21="","",ROUND(CHỈ_SỐ_TRẮNG!$H$21*HỆ_SỐ_PHẨM_CHẤT!$F$8,1))</f>
        <v/>
      </c>
      <c r="I83" s="30" t="str">
        <f aca="false">IF(CHỈ_SỐ_TRẮNG!$I$21="","",CHỈ_SỐ_TRẮNG!$I$21+HỆ_SỐ_PHẨM_CHẤT!$H$8)</f>
        <v/>
      </c>
      <c r="J83" s="30" t="str">
        <f aca="false">IF(CHỈ_SỐ_TRẮNG!$J$21="","",CHỈ_SỐ_TRẮNG!$J$21+HỆ_SỐ_PHẨM_CHẤT!$I$8)</f>
        <v/>
      </c>
      <c r="K83" s="30" t="str">
        <f aca="false">IF(CHỈ_SỐ_TRẮNG!$K$21="","",CHỈ_SỐ_TRẮNG!$K$21+HỆ_SỐ_PHẨM_CHẤT!$J$8)</f>
        <v/>
      </c>
      <c r="L83" s="31" t="str">
        <f aca="false">IF(CHỈ_SỐ_TRẮNG!$L$21="","",CHỈ_SỐ_TRẮNG!$L$21+HỆ_SỐ_PHẨM_CHẤT!$K$8)</f>
        <v/>
      </c>
      <c r="M83" s="30" t="str">
        <f aca="false">IF(CHỈ_SỐ_TRẮNG!$M$21="","",CHỈ_SỐ_TRẮNG!$M$21+HỆ_SỐ_PHẨM_CHẤT!$L$8)</f>
        <v/>
      </c>
      <c r="N83" s="22" t="str">
        <f aca="false">IF(OR(N(I83)&gt;0.1,N(K83)&gt;0.1),"Né/chí mạng vượt 10%","")</f>
        <v/>
      </c>
    </row>
    <row r="84" customFormat="false" ht="15" hidden="false" customHeight="true" outlineLevel="0" collapsed="false">
      <c r="A84" s="22" t="str">
        <f aca="false">NHÂN_VẬT!$A$21</f>
        <v>NV17</v>
      </c>
      <c r="B84" s="22" t="str">
        <f aca="false">IF(NHÂN_VẬT!$B$21="","",NHÂN_VẬT!$B$21)</f>
        <v/>
      </c>
      <c r="C84" s="22" t="str">
        <f aca="false">HỆ_SỐ_PHẨM_CHẤT!$A$9</f>
        <v>Đỏ</v>
      </c>
      <c r="D84" s="28" t="str">
        <f aca="false">IF(CHỈ_SỐ_TRẮNG!$D$21="","",ROUND(CHỈ_SỐ_TRẮNG!$D$21*HỆ_SỐ_PHẨM_CHẤT!$C$9,0))</f>
        <v/>
      </c>
      <c r="E84" s="28" t="str">
        <f aca="false">IF(CHỈ_SỐ_TRẮNG!$E$21="","",ROUND(CHỈ_SỐ_TRẮNG!$E$21*HỆ_SỐ_PHẨM_CHẤT!$D$9,0))</f>
        <v/>
      </c>
      <c r="F84" s="28" t="str">
        <f aca="false">IF(CHỈ_SỐ_TRẮNG!$F$21="","",ROUND(CHỈ_SỐ_TRẮNG!$F$21*HỆ_SỐ_PHẨM_CHẤT!$E$9,0))</f>
        <v/>
      </c>
      <c r="G84" s="29" t="str">
        <f aca="false">IF(CHỈ_SỐ_TRẮNG!$G$21="","",CHỈ_SỐ_TRẮNG!$G$21+HỆ_SỐ_PHẨM_CHẤT!$G$9)</f>
        <v/>
      </c>
      <c r="H84" s="29" t="str">
        <f aca="false">IF(CHỈ_SỐ_TRẮNG!$H$21="","",ROUND(CHỈ_SỐ_TRẮNG!$H$21*HỆ_SỐ_PHẨM_CHẤT!$F$9,1))</f>
        <v/>
      </c>
      <c r="I84" s="30" t="str">
        <f aca="false">IF(CHỈ_SỐ_TRẮNG!$I$21="","",CHỈ_SỐ_TRẮNG!$I$21+HỆ_SỐ_PHẨM_CHẤT!$H$9)</f>
        <v/>
      </c>
      <c r="J84" s="30" t="str">
        <f aca="false">IF(CHỈ_SỐ_TRẮNG!$J$21="","",CHỈ_SỐ_TRẮNG!$J$21+HỆ_SỐ_PHẨM_CHẤT!$I$9)</f>
        <v/>
      </c>
      <c r="K84" s="30" t="str">
        <f aca="false">IF(CHỈ_SỐ_TRẮNG!$K$21="","",CHỈ_SỐ_TRẮNG!$K$21+HỆ_SỐ_PHẨM_CHẤT!$J$9)</f>
        <v/>
      </c>
      <c r="L84" s="31" t="str">
        <f aca="false">IF(CHỈ_SỐ_TRẮNG!$L$21="","",CHỈ_SỐ_TRẮNG!$L$21+HỆ_SỐ_PHẨM_CHẤT!$K$9)</f>
        <v/>
      </c>
      <c r="M84" s="30" t="str">
        <f aca="false">IF(CHỈ_SỐ_TRẮNG!$M$21="","",CHỈ_SỐ_TRẮNG!$M$21+HỆ_SỐ_PHẨM_CHẤT!$L$9)</f>
        <v/>
      </c>
      <c r="N84" s="22" t="str">
        <f aca="false">IF(OR(N(I84)&gt;0.1,N(K84)&gt;0.1),"Né/chí mạng vượt 10%","")</f>
        <v/>
      </c>
    </row>
    <row r="85" customFormat="false" ht="15" hidden="false" customHeight="true" outlineLevel="0" collapsed="false">
      <c r="A85" s="22" t="str">
        <f aca="false">NHÂN_VẬT!$A$22</f>
        <v>NV18</v>
      </c>
      <c r="B85" s="22" t="str">
        <f aca="false">IF(NHÂN_VẬT!$B$22="","",NHÂN_VẬT!$B$22)</f>
        <v/>
      </c>
      <c r="C85" s="22" t="str">
        <f aca="false">HỆ_SỐ_PHẨM_CHẤT!$A$5</f>
        <v>Trắng</v>
      </c>
      <c r="D85" s="28" t="str">
        <f aca="false">IF(CHỈ_SỐ_TRẮNG!$D$22="","",ROUND(CHỈ_SỐ_TRẮNG!$D$22*HỆ_SỐ_PHẨM_CHẤT!$C$5,0))</f>
        <v/>
      </c>
      <c r="E85" s="28" t="str">
        <f aca="false">IF(CHỈ_SỐ_TRẮNG!$E$22="","",ROUND(CHỈ_SỐ_TRẮNG!$E$22*HỆ_SỐ_PHẨM_CHẤT!$D$5,0))</f>
        <v/>
      </c>
      <c r="F85" s="28" t="str">
        <f aca="false">IF(CHỈ_SỐ_TRẮNG!$F$22="","",ROUND(CHỈ_SỐ_TRẮNG!$F$22*HỆ_SỐ_PHẨM_CHẤT!$E$5,0))</f>
        <v/>
      </c>
      <c r="G85" s="29" t="str">
        <f aca="false">IF(CHỈ_SỐ_TRẮNG!$G$22="","",CHỈ_SỐ_TRẮNG!$G$22+HỆ_SỐ_PHẨM_CHẤT!$G$5)</f>
        <v/>
      </c>
      <c r="H85" s="29" t="str">
        <f aca="false">IF(CHỈ_SỐ_TRẮNG!$H$22="","",ROUND(CHỈ_SỐ_TRẮNG!$H$22*HỆ_SỐ_PHẨM_CHẤT!$F$5,1))</f>
        <v/>
      </c>
      <c r="I85" s="30" t="str">
        <f aca="false">IF(CHỈ_SỐ_TRẮNG!$I$22="","",CHỈ_SỐ_TRẮNG!$I$22+HỆ_SỐ_PHẨM_CHẤT!$H$5)</f>
        <v/>
      </c>
      <c r="J85" s="30" t="str">
        <f aca="false">IF(CHỈ_SỐ_TRẮNG!$J$22="","",CHỈ_SỐ_TRẮNG!$J$22+HỆ_SỐ_PHẨM_CHẤT!$I$5)</f>
        <v/>
      </c>
      <c r="K85" s="30" t="str">
        <f aca="false">IF(CHỈ_SỐ_TRẮNG!$K$22="","",CHỈ_SỐ_TRẮNG!$K$22+HỆ_SỐ_PHẨM_CHẤT!$J$5)</f>
        <v/>
      </c>
      <c r="L85" s="31" t="str">
        <f aca="false">IF(CHỈ_SỐ_TRẮNG!$L$22="","",CHỈ_SỐ_TRẮNG!$L$22+HỆ_SỐ_PHẨM_CHẤT!$K$5)</f>
        <v/>
      </c>
      <c r="M85" s="30" t="str">
        <f aca="false">IF(CHỈ_SỐ_TRẮNG!$M$22="","",CHỈ_SỐ_TRẮNG!$M$22+HỆ_SỐ_PHẨM_CHẤT!$L$5)</f>
        <v/>
      </c>
      <c r="N85" s="22" t="str">
        <f aca="false">IF(OR(N(I85)&gt;0.1,N(K85)&gt;0.1),"Né/chí mạng vượt 10%","")</f>
        <v/>
      </c>
    </row>
    <row r="86" customFormat="false" ht="15" hidden="false" customHeight="true" outlineLevel="0" collapsed="false">
      <c r="A86" s="22" t="str">
        <f aca="false">NHÂN_VẬT!$A$22</f>
        <v>NV18</v>
      </c>
      <c r="B86" s="22" t="str">
        <f aca="false">IF(NHÂN_VẬT!$B$22="","",NHÂN_VẬT!$B$22)</f>
        <v/>
      </c>
      <c r="C86" s="22" t="str">
        <f aca="false">HỆ_SỐ_PHẨM_CHẤT!$A$6</f>
        <v>Xanh lá</v>
      </c>
      <c r="D86" s="28" t="str">
        <f aca="false">IF(CHỈ_SỐ_TRẮNG!$D$22="","",ROUND(CHỈ_SỐ_TRẮNG!$D$22*HỆ_SỐ_PHẨM_CHẤT!$C$6,0))</f>
        <v/>
      </c>
      <c r="E86" s="28" t="str">
        <f aca="false">IF(CHỈ_SỐ_TRẮNG!$E$22="","",ROUND(CHỈ_SỐ_TRẮNG!$E$22*HỆ_SỐ_PHẨM_CHẤT!$D$6,0))</f>
        <v/>
      </c>
      <c r="F86" s="28" t="str">
        <f aca="false">IF(CHỈ_SỐ_TRẮNG!$F$22="","",ROUND(CHỈ_SỐ_TRẮNG!$F$22*HỆ_SỐ_PHẨM_CHẤT!$E$6,0))</f>
        <v/>
      </c>
      <c r="G86" s="29" t="str">
        <f aca="false">IF(CHỈ_SỐ_TRẮNG!$G$22="","",CHỈ_SỐ_TRẮNG!$G$22+HỆ_SỐ_PHẨM_CHẤT!$G$6)</f>
        <v/>
      </c>
      <c r="H86" s="29" t="str">
        <f aca="false">IF(CHỈ_SỐ_TRẮNG!$H$22="","",ROUND(CHỈ_SỐ_TRẮNG!$H$22*HỆ_SỐ_PHẨM_CHẤT!$F$6,1))</f>
        <v/>
      </c>
      <c r="I86" s="30" t="str">
        <f aca="false">IF(CHỈ_SỐ_TRẮNG!$I$22="","",CHỈ_SỐ_TRẮNG!$I$22+HỆ_SỐ_PHẨM_CHẤT!$H$6)</f>
        <v/>
      </c>
      <c r="J86" s="30" t="str">
        <f aca="false">IF(CHỈ_SỐ_TRẮNG!$J$22="","",CHỈ_SỐ_TRẮNG!$J$22+HỆ_SỐ_PHẨM_CHẤT!$I$6)</f>
        <v/>
      </c>
      <c r="K86" s="30" t="str">
        <f aca="false">IF(CHỈ_SỐ_TRẮNG!$K$22="","",CHỈ_SỐ_TRẮNG!$K$22+HỆ_SỐ_PHẨM_CHẤT!$J$6)</f>
        <v/>
      </c>
      <c r="L86" s="31" t="str">
        <f aca="false">IF(CHỈ_SỐ_TRẮNG!$L$22="","",CHỈ_SỐ_TRẮNG!$L$22+HỆ_SỐ_PHẨM_CHẤT!$K$6)</f>
        <v/>
      </c>
      <c r="M86" s="30" t="str">
        <f aca="false">IF(CHỈ_SỐ_TRẮNG!$M$22="","",CHỈ_SỐ_TRẮNG!$M$22+HỆ_SỐ_PHẨM_CHẤT!$L$6)</f>
        <v/>
      </c>
      <c r="N86" s="22" t="str">
        <f aca="false">IF(OR(N(I86)&gt;0.1,N(K86)&gt;0.1),"Né/chí mạng vượt 10%","")</f>
        <v/>
      </c>
    </row>
    <row r="87" customFormat="false" ht="15" hidden="false" customHeight="true" outlineLevel="0" collapsed="false">
      <c r="A87" s="22" t="str">
        <f aca="false">NHÂN_VẬT!$A$22</f>
        <v>NV18</v>
      </c>
      <c r="B87" s="22" t="str">
        <f aca="false">IF(NHÂN_VẬT!$B$22="","",NHÂN_VẬT!$B$22)</f>
        <v/>
      </c>
      <c r="C87" s="22" t="str">
        <f aca="false">HỆ_SỐ_PHẨM_CHẤT!$A$7</f>
        <v>Xanh dương</v>
      </c>
      <c r="D87" s="28" t="str">
        <f aca="false">IF(CHỈ_SỐ_TRẮNG!$D$22="","",ROUND(CHỈ_SỐ_TRẮNG!$D$22*HỆ_SỐ_PHẨM_CHẤT!$C$7,0))</f>
        <v/>
      </c>
      <c r="E87" s="28" t="str">
        <f aca="false">IF(CHỈ_SỐ_TRẮNG!$E$22="","",ROUND(CHỈ_SỐ_TRẮNG!$E$22*HỆ_SỐ_PHẨM_CHẤT!$D$7,0))</f>
        <v/>
      </c>
      <c r="F87" s="28" t="str">
        <f aca="false">IF(CHỈ_SỐ_TRẮNG!$F$22="","",ROUND(CHỈ_SỐ_TRẮNG!$F$22*HỆ_SỐ_PHẨM_CHẤT!$E$7,0))</f>
        <v/>
      </c>
      <c r="G87" s="29" t="str">
        <f aca="false">IF(CHỈ_SỐ_TRẮNG!$G$22="","",CHỈ_SỐ_TRẮNG!$G$22+HỆ_SỐ_PHẨM_CHẤT!$G$7)</f>
        <v/>
      </c>
      <c r="H87" s="29" t="str">
        <f aca="false">IF(CHỈ_SỐ_TRẮNG!$H$22="","",ROUND(CHỈ_SỐ_TRẮNG!$H$22*HỆ_SỐ_PHẨM_CHẤT!$F$7,1))</f>
        <v/>
      </c>
      <c r="I87" s="30" t="str">
        <f aca="false">IF(CHỈ_SỐ_TRẮNG!$I$22="","",CHỈ_SỐ_TRẮNG!$I$22+HỆ_SỐ_PHẨM_CHẤT!$H$7)</f>
        <v/>
      </c>
      <c r="J87" s="30" t="str">
        <f aca="false">IF(CHỈ_SỐ_TRẮNG!$J$22="","",CHỈ_SỐ_TRẮNG!$J$22+HỆ_SỐ_PHẨM_CHẤT!$I$7)</f>
        <v/>
      </c>
      <c r="K87" s="30" t="str">
        <f aca="false">IF(CHỈ_SỐ_TRẮNG!$K$22="","",CHỈ_SỐ_TRẮNG!$K$22+HỆ_SỐ_PHẨM_CHẤT!$J$7)</f>
        <v/>
      </c>
      <c r="L87" s="31" t="str">
        <f aca="false">IF(CHỈ_SỐ_TRẮNG!$L$22="","",CHỈ_SỐ_TRẮNG!$L$22+HỆ_SỐ_PHẨM_CHẤT!$K$7)</f>
        <v/>
      </c>
      <c r="M87" s="30" t="str">
        <f aca="false">IF(CHỈ_SỐ_TRẮNG!$M$22="","",CHỈ_SỐ_TRẮNG!$M$22+HỆ_SỐ_PHẨM_CHẤT!$L$7)</f>
        <v/>
      </c>
      <c r="N87" s="22" t="str">
        <f aca="false">IF(OR(N(I87)&gt;0.1,N(K87)&gt;0.1),"Né/chí mạng vượt 10%","")</f>
        <v/>
      </c>
    </row>
    <row r="88" customFormat="false" ht="15" hidden="false" customHeight="true" outlineLevel="0" collapsed="false">
      <c r="A88" s="22" t="str">
        <f aca="false">NHÂN_VẬT!$A$22</f>
        <v>NV18</v>
      </c>
      <c r="B88" s="22" t="str">
        <f aca="false">IF(NHÂN_VẬT!$B$22="","",NHÂN_VẬT!$B$22)</f>
        <v/>
      </c>
      <c r="C88" s="22" t="str">
        <f aca="false">HỆ_SỐ_PHẨM_CHẤT!$A$8</f>
        <v>Tím</v>
      </c>
      <c r="D88" s="28" t="str">
        <f aca="false">IF(CHỈ_SỐ_TRẮNG!$D$22="","",ROUND(CHỈ_SỐ_TRẮNG!$D$22*HỆ_SỐ_PHẨM_CHẤT!$C$8,0))</f>
        <v/>
      </c>
      <c r="E88" s="28" t="str">
        <f aca="false">IF(CHỈ_SỐ_TRẮNG!$E$22="","",ROUND(CHỈ_SỐ_TRẮNG!$E$22*HỆ_SỐ_PHẨM_CHẤT!$D$8,0))</f>
        <v/>
      </c>
      <c r="F88" s="28" t="str">
        <f aca="false">IF(CHỈ_SỐ_TRẮNG!$F$22="","",ROUND(CHỈ_SỐ_TRẮNG!$F$22*HỆ_SỐ_PHẨM_CHẤT!$E$8,0))</f>
        <v/>
      </c>
      <c r="G88" s="29" t="str">
        <f aca="false">IF(CHỈ_SỐ_TRẮNG!$G$22="","",CHỈ_SỐ_TRẮNG!$G$22+HỆ_SỐ_PHẨM_CHẤT!$G$8)</f>
        <v/>
      </c>
      <c r="H88" s="29" t="str">
        <f aca="false">IF(CHỈ_SỐ_TRẮNG!$H$22="","",ROUND(CHỈ_SỐ_TRẮNG!$H$22*HỆ_SỐ_PHẨM_CHẤT!$F$8,1))</f>
        <v/>
      </c>
      <c r="I88" s="30" t="str">
        <f aca="false">IF(CHỈ_SỐ_TRẮNG!$I$22="","",CHỈ_SỐ_TRẮNG!$I$22+HỆ_SỐ_PHẨM_CHẤT!$H$8)</f>
        <v/>
      </c>
      <c r="J88" s="30" t="str">
        <f aca="false">IF(CHỈ_SỐ_TRẮNG!$J$22="","",CHỈ_SỐ_TRẮNG!$J$22+HỆ_SỐ_PHẨM_CHẤT!$I$8)</f>
        <v/>
      </c>
      <c r="K88" s="30" t="str">
        <f aca="false">IF(CHỈ_SỐ_TRẮNG!$K$22="","",CHỈ_SỐ_TRẮNG!$K$22+HỆ_SỐ_PHẨM_CHẤT!$J$8)</f>
        <v/>
      </c>
      <c r="L88" s="31" t="str">
        <f aca="false">IF(CHỈ_SỐ_TRẮNG!$L$22="","",CHỈ_SỐ_TRẮNG!$L$22+HỆ_SỐ_PHẨM_CHẤT!$K$8)</f>
        <v/>
      </c>
      <c r="M88" s="30" t="str">
        <f aca="false">IF(CHỈ_SỐ_TRẮNG!$M$22="","",CHỈ_SỐ_TRẮNG!$M$22+HỆ_SỐ_PHẨM_CHẤT!$L$8)</f>
        <v/>
      </c>
      <c r="N88" s="22" t="str">
        <f aca="false">IF(OR(N(I88)&gt;0.1,N(K88)&gt;0.1),"Né/chí mạng vượt 10%","")</f>
        <v/>
      </c>
    </row>
    <row r="89" customFormat="false" ht="15" hidden="false" customHeight="true" outlineLevel="0" collapsed="false">
      <c r="A89" s="22" t="str">
        <f aca="false">NHÂN_VẬT!$A$22</f>
        <v>NV18</v>
      </c>
      <c r="B89" s="22" t="str">
        <f aca="false">IF(NHÂN_VẬT!$B$22="","",NHÂN_VẬT!$B$22)</f>
        <v/>
      </c>
      <c r="C89" s="22" t="str">
        <f aca="false">HỆ_SỐ_PHẨM_CHẤT!$A$9</f>
        <v>Đỏ</v>
      </c>
      <c r="D89" s="28" t="str">
        <f aca="false">IF(CHỈ_SỐ_TRẮNG!$D$22="","",ROUND(CHỈ_SỐ_TRẮNG!$D$22*HỆ_SỐ_PHẨM_CHẤT!$C$9,0))</f>
        <v/>
      </c>
      <c r="E89" s="28" t="str">
        <f aca="false">IF(CHỈ_SỐ_TRẮNG!$E$22="","",ROUND(CHỈ_SỐ_TRẮNG!$E$22*HỆ_SỐ_PHẨM_CHẤT!$D$9,0))</f>
        <v/>
      </c>
      <c r="F89" s="28" t="str">
        <f aca="false">IF(CHỈ_SỐ_TRẮNG!$F$22="","",ROUND(CHỈ_SỐ_TRẮNG!$F$22*HỆ_SỐ_PHẨM_CHẤT!$E$9,0))</f>
        <v/>
      </c>
      <c r="G89" s="29" t="str">
        <f aca="false">IF(CHỈ_SỐ_TRẮNG!$G$22="","",CHỈ_SỐ_TRẮNG!$G$22+HỆ_SỐ_PHẨM_CHẤT!$G$9)</f>
        <v/>
      </c>
      <c r="H89" s="29" t="str">
        <f aca="false">IF(CHỈ_SỐ_TRẮNG!$H$22="","",ROUND(CHỈ_SỐ_TRẮNG!$H$22*HỆ_SỐ_PHẨM_CHẤT!$F$9,1))</f>
        <v/>
      </c>
      <c r="I89" s="30" t="str">
        <f aca="false">IF(CHỈ_SỐ_TRẮNG!$I$22="","",CHỈ_SỐ_TRẮNG!$I$22+HỆ_SỐ_PHẨM_CHẤT!$H$9)</f>
        <v/>
      </c>
      <c r="J89" s="30" t="str">
        <f aca="false">IF(CHỈ_SỐ_TRẮNG!$J$22="","",CHỈ_SỐ_TRẮNG!$J$22+HỆ_SỐ_PHẨM_CHẤT!$I$9)</f>
        <v/>
      </c>
      <c r="K89" s="30" t="str">
        <f aca="false">IF(CHỈ_SỐ_TRẮNG!$K$22="","",CHỈ_SỐ_TRẮNG!$K$22+HỆ_SỐ_PHẨM_CHẤT!$J$9)</f>
        <v/>
      </c>
      <c r="L89" s="31" t="str">
        <f aca="false">IF(CHỈ_SỐ_TRẮNG!$L$22="","",CHỈ_SỐ_TRẮNG!$L$22+HỆ_SỐ_PHẨM_CHẤT!$K$9)</f>
        <v/>
      </c>
      <c r="M89" s="30" t="str">
        <f aca="false">IF(CHỈ_SỐ_TRẮNG!$M$22="","",CHỈ_SỐ_TRẮNG!$M$22+HỆ_SỐ_PHẨM_CHẤT!$L$9)</f>
        <v/>
      </c>
      <c r="N89" s="22" t="str">
        <f aca="false">IF(OR(N(I89)&gt;0.1,N(K89)&gt;0.1),"Né/chí mạng vượt 10%","")</f>
        <v/>
      </c>
    </row>
    <row r="90" customFormat="false" ht="15" hidden="false" customHeight="true" outlineLevel="0" collapsed="false">
      <c r="A90" s="22" t="str">
        <f aca="false">NHÂN_VẬT!$A$23</f>
        <v>NV19</v>
      </c>
      <c r="B90" s="22" t="str">
        <f aca="false">IF(NHÂN_VẬT!$B$23="","",NHÂN_VẬT!$B$23)</f>
        <v/>
      </c>
      <c r="C90" s="22" t="str">
        <f aca="false">HỆ_SỐ_PHẨM_CHẤT!$A$5</f>
        <v>Trắng</v>
      </c>
      <c r="D90" s="28" t="str">
        <f aca="false">IF(CHỈ_SỐ_TRẮNG!$D$23="","",ROUND(CHỈ_SỐ_TRẮNG!$D$23*HỆ_SỐ_PHẨM_CHẤT!$C$5,0))</f>
        <v/>
      </c>
      <c r="E90" s="28" t="str">
        <f aca="false">IF(CHỈ_SỐ_TRẮNG!$E$23="","",ROUND(CHỈ_SỐ_TRẮNG!$E$23*HỆ_SỐ_PHẨM_CHẤT!$D$5,0))</f>
        <v/>
      </c>
      <c r="F90" s="28" t="str">
        <f aca="false">IF(CHỈ_SỐ_TRẮNG!$F$23="","",ROUND(CHỈ_SỐ_TRẮNG!$F$23*HỆ_SỐ_PHẨM_CHẤT!$E$5,0))</f>
        <v/>
      </c>
      <c r="G90" s="29" t="str">
        <f aca="false">IF(CHỈ_SỐ_TRẮNG!$G$23="","",CHỈ_SỐ_TRẮNG!$G$23+HỆ_SỐ_PHẨM_CHẤT!$G$5)</f>
        <v/>
      </c>
      <c r="H90" s="29" t="str">
        <f aca="false">IF(CHỈ_SỐ_TRẮNG!$H$23="","",ROUND(CHỈ_SỐ_TRẮNG!$H$23*HỆ_SỐ_PHẨM_CHẤT!$F$5,1))</f>
        <v/>
      </c>
      <c r="I90" s="30" t="str">
        <f aca="false">IF(CHỈ_SỐ_TRẮNG!$I$23="","",CHỈ_SỐ_TRẮNG!$I$23+HỆ_SỐ_PHẨM_CHẤT!$H$5)</f>
        <v/>
      </c>
      <c r="J90" s="30" t="str">
        <f aca="false">IF(CHỈ_SỐ_TRẮNG!$J$23="","",CHỈ_SỐ_TRẮNG!$J$23+HỆ_SỐ_PHẨM_CHẤT!$I$5)</f>
        <v/>
      </c>
      <c r="K90" s="30" t="str">
        <f aca="false">IF(CHỈ_SỐ_TRẮNG!$K$23="","",CHỈ_SỐ_TRẮNG!$K$23+HỆ_SỐ_PHẨM_CHẤT!$J$5)</f>
        <v/>
      </c>
      <c r="L90" s="31" t="str">
        <f aca="false">IF(CHỈ_SỐ_TRẮNG!$L$23="","",CHỈ_SỐ_TRẮNG!$L$23+HỆ_SỐ_PHẨM_CHẤT!$K$5)</f>
        <v/>
      </c>
      <c r="M90" s="30" t="str">
        <f aca="false">IF(CHỈ_SỐ_TRẮNG!$M$23="","",CHỈ_SỐ_TRẮNG!$M$23+HỆ_SỐ_PHẨM_CHẤT!$L$5)</f>
        <v/>
      </c>
      <c r="N90" s="22" t="str">
        <f aca="false">IF(OR(N(I90)&gt;0.1,N(K90)&gt;0.1),"Né/chí mạng vượt 10%","")</f>
        <v/>
      </c>
    </row>
    <row r="91" customFormat="false" ht="15" hidden="false" customHeight="true" outlineLevel="0" collapsed="false">
      <c r="A91" s="22" t="str">
        <f aca="false">NHÂN_VẬT!$A$23</f>
        <v>NV19</v>
      </c>
      <c r="B91" s="22" t="str">
        <f aca="false">IF(NHÂN_VẬT!$B$23="","",NHÂN_VẬT!$B$23)</f>
        <v/>
      </c>
      <c r="C91" s="22" t="str">
        <f aca="false">HỆ_SỐ_PHẨM_CHẤT!$A$6</f>
        <v>Xanh lá</v>
      </c>
      <c r="D91" s="28" t="str">
        <f aca="false">IF(CHỈ_SỐ_TRẮNG!$D$23="","",ROUND(CHỈ_SỐ_TRẮNG!$D$23*HỆ_SỐ_PHẨM_CHẤT!$C$6,0))</f>
        <v/>
      </c>
      <c r="E91" s="28" t="str">
        <f aca="false">IF(CHỈ_SỐ_TRẮNG!$E$23="","",ROUND(CHỈ_SỐ_TRẮNG!$E$23*HỆ_SỐ_PHẨM_CHẤT!$D$6,0))</f>
        <v/>
      </c>
      <c r="F91" s="28" t="str">
        <f aca="false">IF(CHỈ_SỐ_TRẮNG!$F$23="","",ROUND(CHỈ_SỐ_TRẮNG!$F$23*HỆ_SỐ_PHẨM_CHẤT!$E$6,0))</f>
        <v/>
      </c>
      <c r="G91" s="29" t="str">
        <f aca="false">IF(CHỈ_SỐ_TRẮNG!$G$23="","",CHỈ_SỐ_TRẮNG!$G$23+HỆ_SỐ_PHẨM_CHẤT!$G$6)</f>
        <v/>
      </c>
      <c r="H91" s="29" t="str">
        <f aca="false">IF(CHỈ_SỐ_TRẮNG!$H$23="","",ROUND(CHỈ_SỐ_TRẮNG!$H$23*HỆ_SỐ_PHẨM_CHẤT!$F$6,1))</f>
        <v/>
      </c>
      <c r="I91" s="30" t="str">
        <f aca="false">IF(CHỈ_SỐ_TRẮNG!$I$23="","",CHỈ_SỐ_TRẮNG!$I$23+HỆ_SỐ_PHẨM_CHẤT!$H$6)</f>
        <v/>
      </c>
      <c r="J91" s="30" t="str">
        <f aca="false">IF(CHỈ_SỐ_TRẮNG!$J$23="","",CHỈ_SỐ_TRẮNG!$J$23+HỆ_SỐ_PHẨM_CHẤT!$I$6)</f>
        <v/>
      </c>
      <c r="K91" s="30" t="str">
        <f aca="false">IF(CHỈ_SỐ_TRẮNG!$K$23="","",CHỈ_SỐ_TRẮNG!$K$23+HỆ_SỐ_PHẨM_CHẤT!$J$6)</f>
        <v/>
      </c>
      <c r="L91" s="31" t="str">
        <f aca="false">IF(CHỈ_SỐ_TRẮNG!$L$23="","",CHỈ_SỐ_TRẮNG!$L$23+HỆ_SỐ_PHẨM_CHẤT!$K$6)</f>
        <v/>
      </c>
      <c r="M91" s="30" t="str">
        <f aca="false">IF(CHỈ_SỐ_TRẮNG!$M$23="","",CHỈ_SỐ_TRẮNG!$M$23+HỆ_SỐ_PHẨM_CHẤT!$L$6)</f>
        <v/>
      </c>
      <c r="N91" s="22" t="str">
        <f aca="false">IF(OR(N(I91)&gt;0.1,N(K91)&gt;0.1),"Né/chí mạng vượt 10%","")</f>
        <v/>
      </c>
    </row>
    <row r="92" customFormat="false" ht="15" hidden="false" customHeight="true" outlineLevel="0" collapsed="false">
      <c r="A92" s="22" t="str">
        <f aca="false">NHÂN_VẬT!$A$23</f>
        <v>NV19</v>
      </c>
      <c r="B92" s="22" t="str">
        <f aca="false">IF(NHÂN_VẬT!$B$23="","",NHÂN_VẬT!$B$23)</f>
        <v/>
      </c>
      <c r="C92" s="22" t="str">
        <f aca="false">HỆ_SỐ_PHẨM_CHẤT!$A$7</f>
        <v>Xanh dương</v>
      </c>
      <c r="D92" s="28" t="str">
        <f aca="false">IF(CHỈ_SỐ_TRẮNG!$D$23="","",ROUND(CHỈ_SỐ_TRẮNG!$D$23*HỆ_SỐ_PHẨM_CHẤT!$C$7,0))</f>
        <v/>
      </c>
      <c r="E92" s="28" t="str">
        <f aca="false">IF(CHỈ_SỐ_TRẮNG!$E$23="","",ROUND(CHỈ_SỐ_TRẮNG!$E$23*HỆ_SỐ_PHẨM_CHẤT!$D$7,0))</f>
        <v/>
      </c>
      <c r="F92" s="28" t="str">
        <f aca="false">IF(CHỈ_SỐ_TRẮNG!$F$23="","",ROUND(CHỈ_SỐ_TRẮNG!$F$23*HỆ_SỐ_PHẨM_CHẤT!$E$7,0))</f>
        <v/>
      </c>
      <c r="G92" s="29" t="str">
        <f aca="false">IF(CHỈ_SỐ_TRẮNG!$G$23="","",CHỈ_SỐ_TRẮNG!$G$23+HỆ_SỐ_PHẨM_CHẤT!$G$7)</f>
        <v/>
      </c>
      <c r="H92" s="29" t="str">
        <f aca="false">IF(CHỈ_SỐ_TRẮNG!$H$23="","",ROUND(CHỈ_SỐ_TRẮNG!$H$23*HỆ_SỐ_PHẨM_CHẤT!$F$7,1))</f>
        <v/>
      </c>
      <c r="I92" s="30" t="str">
        <f aca="false">IF(CHỈ_SỐ_TRẮNG!$I$23="","",CHỈ_SỐ_TRẮNG!$I$23+HỆ_SỐ_PHẨM_CHẤT!$H$7)</f>
        <v/>
      </c>
      <c r="J92" s="30" t="str">
        <f aca="false">IF(CHỈ_SỐ_TRẮNG!$J$23="","",CHỈ_SỐ_TRẮNG!$J$23+HỆ_SỐ_PHẨM_CHẤT!$I$7)</f>
        <v/>
      </c>
      <c r="K92" s="30" t="str">
        <f aca="false">IF(CHỈ_SỐ_TRẮNG!$K$23="","",CHỈ_SỐ_TRẮNG!$K$23+HỆ_SỐ_PHẨM_CHẤT!$J$7)</f>
        <v/>
      </c>
      <c r="L92" s="31" t="str">
        <f aca="false">IF(CHỈ_SỐ_TRẮNG!$L$23="","",CHỈ_SỐ_TRẮNG!$L$23+HỆ_SỐ_PHẨM_CHẤT!$K$7)</f>
        <v/>
      </c>
      <c r="M92" s="30" t="str">
        <f aca="false">IF(CHỈ_SỐ_TRẮNG!$M$23="","",CHỈ_SỐ_TRẮNG!$M$23+HỆ_SỐ_PHẨM_CHẤT!$L$7)</f>
        <v/>
      </c>
      <c r="N92" s="22" t="str">
        <f aca="false">IF(OR(N(I92)&gt;0.1,N(K92)&gt;0.1),"Né/chí mạng vượt 10%","")</f>
        <v/>
      </c>
    </row>
    <row r="93" customFormat="false" ht="15" hidden="false" customHeight="true" outlineLevel="0" collapsed="false">
      <c r="A93" s="22" t="str">
        <f aca="false">NHÂN_VẬT!$A$23</f>
        <v>NV19</v>
      </c>
      <c r="B93" s="22" t="str">
        <f aca="false">IF(NHÂN_VẬT!$B$23="","",NHÂN_VẬT!$B$23)</f>
        <v/>
      </c>
      <c r="C93" s="22" t="str">
        <f aca="false">HỆ_SỐ_PHẨM_CHẤT!$A$8</f>
        <v>Tím</v>
      </c>
      <c r="D93" s="28" t="str">
        <f aca="false">IF(CHỈ_SỐ_TRẮNG!$D$23="","",ROUND(CHỈ_SỐ_TRẮNG!$D$23*HỆ_SỐ_PHẨM_CHẤT!$C$8,0))</f>
        <v/>
      </c>
      <c r="E93" s="28" t="str">
        <f aca="false">IF(CHỈ_SỐ_TRẮNG!$E$23="","",ROUND(CHỈ_SỐ_TRẮNG!$E$23*HỆ_SỐ_PHẨM_CHẤT!$D$8,0))</f>
        <v/>
      </c>
      <c r="F93" s="28" t="str">
        <f aca="false">IF(CHỈ_SỐ_TRẮNG!$F$23="","",ROUND(CHỈ_SỐ_TRẮNG!$F$23*HỆ_SỐ_PHẨM_CHẤT!$E$8,0))</f>
        <v/>
      </c>
      <c r="G93" s="29" t="str">
        <f aca="false">IF(CHỈ_SỐ_TRẮNG!$G$23="","",CHỈ_SỐ_TRẮNG!$G$23+HỆ_SỐ_PHẨM_CHẤT!$G$8)</f>
        <v/>
      </c>
      <c r="H93" s="29" t="str">
        <f aca="false">IF(CHỈ_SỐ_TRẮNG!$H$23="","",ROUND(CHỈ_SỐ_TRẮNG!$H$23*HỆ_SỐ_PHẨM_CHẤT!$F$8,1))</f>
        <v/>
      </c>
      <c r="I93" s="30" t="str">
        <f aca="false">IF(CHỈ_SỐ_TRẮNG!$I$23="","",CHỈ_SỐ_TRẮNG!$I$23+HỆ_SỐ_PHẨM_CHẤT!$H$8)</f>
        <v/>
      </c>
      <c r="J93" s="30" t="str">
        <f aca="false">IF(CHỈ_SỐ_TRẮNG!$J$23="","",CHỈ_SỐ_TRẮNG!$J$23+HỆ_SỐ_PHẨM_CHẤT!$I$8)</f>
        <v/>
      </c>
      <c r="K93" s="30" t="str">
        <f aca="false">IF(CHỈ_SỐ_TRẮNG!$K$23="","",CHỈ_SỐ_TRẮNG!$K$23+HỆ_SỐ_PHẨM_CHẤT!$J$8)</f>
        <v/>
      </c>
      <c r="L93" s="31" t="str">
        <f aca="false">IF(CHỈ_SỐ_TRẮNG!$L$23="","",CHỈ_SỐ_TRẮNG!$L$23+HỆ_SỐ_PHẨM_CHẤT!$K$8)</f>
        <v/>
      </c>
      <c r="M93" s="30" t="str">
        <f aca="false">IF(CHỈ_SỐ_TRẮNG!$M$23="","",CHỈ_SỐ_TRẮNG!$M$23+HỆ_SỐ_PHẨM_CHẤT!$L$8)</f>
        <v/>
      </c>
      <c r="N93" s="22" t="str">
        <f aca="false">IF(OR(N(I93)&gt;0.1,N(K93)&gt;0.1),"Né/chí mạng vượt 10%","")</f>
        <v/>
      </c>
    </row>
    <row r="94" customFormat="false" ht="15" hidden="false" customHeight="true" outlineLevel="0" collapsed="false">
      <c r="A94" s="22" t="str">
        <f aca="false">NHÂN_VẬT!$A$23</f>
        <v>NV19</v>
      </c>
      <c r="B94" s="22" t="str">
        <f aca="false">IF(NHÂN_VẬT!$B$23="","",NHÂN_VẬT!$B$23)</f>
        <v/>
      </c>
      <c r="C94" s="22" t="str">
        <f aca="false">HỆ_SỐ_PHẨM_CHẤT!$A$9</f>
        <v>Đỏ</v>
      </c>
      <c r="D94" s="28" t="str">
        <f aca="false">IF(CHỈ_SỐ_TRẮNG!$D$23="","",ROUND(CHỈ_SỐ_TRẮNG!$D$23*HỆ_SỐ_PHẨM_CHẤT!$C$9,0))</f>
        <v/>
      </c>
      <c r="E94" s="28" t="str">
        <f aca="false">IF(CHỈ_SỐ_TRẮNG!$E$23="","",ROUND(CHỈ_SỐ_TRẮNG!$E$23*HỆ_SỐ_PHẨM_CHẤT!$D$9,0))</f>
        <v/>
      </c>
      <c r="F94" s="28" t="str">
        <f aca="false">IF(CHỈ_SỐ_TRẮNG!$F$23="","",ROUND(CHỈ_SỐ_TRẮNG!$F$23*HỆ_SỐ_PHẨM_CHẤT!$E$9,0))</f>
        <v/>
      </c>
      <c r="G94" s="29" t="str">
        <f aca="false">IF(CHỈ_SỐ_TRẮNG!$G$23="","",CHỈ_SỐ_TRẮNG!$G$23+HỆ_SỐ_PHẨM_CHẤT!$G$9)</f>
        <v/>
      </c>
      <c r="H94" s="29" t="str">
        <f aca="false">IF(CHỈ_SỐ_TRẮNG!$H$23="","",ROUND(CHỈ_SỐ_TRẮNG!$H$23*HỆ_SỐ_PHẨM_CHẤT!$F$9,1))</f>
        <v/>
      </c>
      <c r="I94" s="30" t="str">
        <f aca="false">IF(CHỈ_SỐ_TRẮNG!$I$23="","",CHỈ_SỐ_TRẮNG!$I$23+HỆ_SỐ_PHẨM_CHẤT!$H$9)</f>
        <v/>
      </c>
      <c r="J94" s="30" t="str">
        <f aca="false">IF(CHỈ_SỐ_TRẮNG!$J$23="","",CHỈ_SỐ_TRẮNG!$J$23+HỆ_SỐ_PHẨM_CHẤT!$I$9)</f>
        <v/>
      </c>
      <c r="K94" s="30" t="str">
        <f aca="false">IF(CHỈ_SỐ_TRẮNG!$K$23="","",CHỈ_SỐ_TRẮNG!$K$23+HỆ_SỐ_PHẨM_CHẤT!$J$9)</f>
        <v/>
      </c>
      <c r="L94" s="31" t="str">
        <f aca="false">IF(CHỈ_SỐ_TRẮNG!$L$23="","",CHỈ_SỐ_TRẮNG!$L$23+HỆ_SỐ_PHẨM_CHẤT!$K$9)</f>
        <v/>
      </c>
      <c r="M94" s="30" t="str">
        <f aca="false">IF(CHỈ_SỐ_TRẮNG!$M$23="","",CHỈ_SỐ_TRẮNG!$M$23+HỆ_SỐ_PHẨM_CHẤT!$L$9)</f>
        <v/>
      </c>
      <c r="N94" s="22" t="str">
        <f aca="false">IF(OR(N(I94)&gt;0.1,N(K94)&gt;0.1),"Né/chí mạng vượt 10%","")</f>
        <v/>
      </c>
    </row>
    <row r="95" customFormat="false" ht="15" hidden="false" customHeight="true" outlineLevel="0" collapsed="false">
      <c r="A95" s="22" t="str">
        <f aca="false">NHÂN_VẬT!$A$24</f>
        <v>NV20</v>
      </c>
      <c r="B95" s="22" t="str">
        <f aca="false">IF(NHÂN_VẬT!$B$24="","",NHÂN_VẬT!$B$24)</f>
        <v/>
      </c>
      <c r="C95" s="22" t="str">
        <f aca="false">HỆ_SỐ_PHẨM_CHẤT!$A$5</f>
        <v>Trắng</v>
      </c>
      <c r="D95" s="28" t="str">
        <f aca="false">IF(CHỈ_SỐ_TRẮNG!$D$24="","",ROUND(CHỈ_SỐ_TRẮNG!$D$24*HỆ_SỐ_PHẨM_CHẤT!$C$5,0))</f>
        <v/>
      </c>
      <c r="E95" s="28" t="str">
        <f aca="false">IF(CHỈ_SỐ_TRẮNG!$E$24="","",ROUND(CHỈ_SỐ_TRẮNG!$E$24*HỆ_SỐ_PHẨM_CHẤT!$D$5,0))</f>
        <v/>
      </c>
      <c r="F95" s="28" t="str">
        <f aca="false">IF(CHỈ_SỐ_TRẮNG!$F$24="","",ROUND(CHỈ_SỐ_TRẮNG!$F$24*HỆ_SỐ_PHẨM_CHẤT!$E$5,0))</f>
        <v/>
      </c>
      <c r="G95" s="29" t="str">
        <f aca="false">IF(CHỈ_SỐ_TRẮNG!$G$24="","",CHỈ_SỐ_TRẮNG!$G$24+HỆ_SỐ_PHẨM_CHẤT!$G$5)</f>
        <v/>
      </c>
      <c r="H95" s="29" t="str">
        <f aca="false">IF(CHỈ_SỐ_TRẮNG!$H$24="","",ROUND(CHỈ_SỐ_TRẮNG!$H$24*HỆ_SỐ_PHẨM_CHẤT!$F$5,1))</f>
        <v/>
      </c>
      <c r="I95" s="30" t="str">
        <f aca="false">IF(CHỈ_SỐ_TRẮNG!$I$24="","",CHỈ_SỐ_TRẮNG!$I$24+HỆ_SỐ_PHẨM_CHẤT!$H$5)</f>
        <v/>
      </c>
      <c r="J95" s="30" t="str">
        <f aca="false">IF(CHỈ_SỐ_TRẮNG!$J$24="","",CHỈ_SỐ_TRẮNG!$J$24+HỆ_SỐ_PHẨM_CHẤT!$I$5)</f>
        <v/>
      </c>
      <c r="K95" s="30" t="str">
        <f aca="false">IF(CHỈ_SỐ_TRẮNG!$K$24="","",CHỈ_SỐ_TRẮNG!$K$24+HỆ_SỐ_PHẨM_CHẤT!$J$5)</f>
        <v/>
      </c>
      <c r="L95" s="31" t="str">
        <f aca="false">IF(CHỈ_SỐ_TRẮNG!$L$24="","",CHỈ_SỐ_TRẮNG!$L$24+HỆ_SỐ_PHẨM_CHẤT!$K$5)</f>
        <v/>
      </c>
      <c r="M95" s="30" t="str">
        <f aca="false">IF(CHỈ_SỐ_TRẮNG!$M$24="","",CHỈ_SỐ_TRẮNG!$M$24+HỆ_SỐ_PHẨM_CHẤT!$L$5)</f>
        <v/>
      </c>
      <c r="N95" s="22" t="str">
        <f aca="false">IF(OR(N(I95)&gt;0.1,N(K95)&gt;0.1),"Né/chí mạng vượt 10%","")</f>
        <v/>
      </c>
    </row>
    <row r="96" customFormat="false" ht="15" hidden="false" customHeight="true" outlineLevel="0" collapsed="false">
      <c r="A96" s="22" t="str">
        <f aca="false">NHÂN_VẬT!$A$24</f>
        <v>NV20</v>
      </c>
      <c r="B96" s="22" t="str">
        <f aca="false">IF(NHÂN_VẬT!$B$24="","",NHÂN_VẬT!$B$24)</f>
        <v/>
      </c>
      <c r="C96" s="22" t="str">
        <f aca="false">HỆ_SỐ_PHẨM_CHẤT!$A$6</f>
        <v>Xanh lá</v>
      </c>
      <c r="D96" s="28" t="str">
        <f aca="false">IF(CHỈ_SỐ_TRẮNG!$D$24="","",ROUND(CHỈ_SỐ_TRẮNG!$D$24*HỆ_SỐ_PHẨM_CHẤT!$C$6,0))</f>
        <v/>
      </c>
      <c r="E96" s="28" t="str">
        <f aca="false">IF(CHỈ_SỐ_TRẮNG!$E$24="","",ROUND(CHỈ_SỐ_TRẮNG!$E$24*HỆ_SỐ_PHẨM_CHẤT!$D$6,0))</f>
        <v/>
      </c>
      <c r="F96" s="28" t="str">
        <f aca="false">IF(CHỈ_SỐ_TRẮNG!$F$24="","",ROUND(CHỈ_SỐ_TRẮNG!$F$24*HỆ_SỐ_PHẨM_CHẤT!$E$6,0))</f>
        <v/>
      </c>
      <c r="G96" s="29" t="str">
        <f aca="false">IF(CHỈ_SỐ_TRẮNG!$G$24="","",CHỈ_SỐ_TRẮNG!$G$24+HỆ_SỐ_PHẨM_CHẤT!$G$6)</f>
        <v/>
      </c>
      <c r="H96" s="29" t="str">
        <f aca="false">IF(CHỈ_SỐ_TRẮNG!$H$24="","",ROUND(CHỈ_SỐ_TRẮNG!$H$24*HỆ_SỐ_PHẨM_CHẤT!$F$6,1))</f>
        <v/>
      </c>
      <c r="I96" s="30" t="str">
        <f aca="false">IF(CHỈ_SỐ_TRẮNG!$I$24="","",CHỈ_SỐ_TRẮNG!$I$24+HỆ_SỐ_PHẨM_CHẤT!$H$6)</f>
        <v/>
      </c>
      <c r="J96" s="30" t="str">
        <f aca="false">IF(CHỈ_SỐ_TRẮNG!$J$24="","",CHỈ_SỐ_TRẮNG!$J$24+HỆ_SỐ_PHẨM_CHẤT!$I$6)</f>
        <v/>
      </c>
      <c r="K96" s="30" t="str">
        <f aca="false">IF(CHỈ_SỐ_TRẮNG!$K$24="","",CHỈ_SỐ_TRẮNG!$K$24+HỆ_SỐ_PHẨM_CHẤT!$J$6)</f>
        <v/>
      </c>
      <c r="L96" s="31" t="str">
        <f aca="false">IF(CHỈ_SỐ_TRẮNG!$L$24="","",CHỈ_SỐ_TRẮNG!$L$24+HỆ_SỐ_PHẨM_CHẤT!$K$6)</f>
        <v/>
      </c>
      <c r="M96" s="30" t="str">
        <f aca="false">IF(CHỈ_SỐ_TRẮNG!$M$24="","",CHỈ_SỐ_TRẮNG!$M$24+HỆ_SỐ_PHẨM_CHẤT!$L$6)</f>
        <v/>
      </c>
      <c r="N96" s="22" t="str">
        <f aca="false">IF(OR(N(I96)&gt;0.1,N(K96)&gt;0.1),"Né/chí mạng vượt 10%","")</f>
        <v/>
      </c>
    </row>
    <row r="97" customFormat="false" ht="15" hidden="false" customHeight="true" outlineLevel="0" collapsed="false">
      <c r="A97" s="22" t="str">
        <f aca="false">NHÂN_VẬT!$A$24</f>
        <v>NV20</v>
      </c>
      <c r="B97" s="22" t="str">
        <f aca="false">IF(NHÂN_VẬT!$B$24="","",NHÂN_VẬT!$B$24)</f>
        <v/>
      </c>
      <c r="C97" s="22" t="str">
        <f aca="false">HỆ_SỐ_PHẨM_CHẤT!$A$7</f>
        <v>Xanh dương</v>
      </c>
      <c r="D97" s="28" t="str">
        <f aca="false">IF(CHỈ_SỐ_TRẮNG!$D$24="","",ROUND(CHỈ_SỐ_TRẮNG!$D$24*HỆ_SỐ_PHẨM_CHẤT!$C$7,0))</f>
        <v/>
      </c>
      <c r="E97" s="28" t="str">
        <f aca="false">IF(CHỈ_SỐ_TRẮNG!$E$24="","",ROUND(CHỈ_SỐ_TRẮNG!$E$24*HỆ_SỐ_PHẨM_CHẤT!$D$7,0))</f>
        <v/>
      </c>
      <c r="F97" s="28" t="str">
        <f aca="false">IF(CHỈ_SỐ_TRẮNG!$F$24="","",ROUND(CHỈ_SỐ_TRẮNG!$F$24*HỆ_SỐ_PHẨM_CHẤT!$E$7,0))</f>
        <v/>
      </c>
      <c r="G97" s="29" t="str">
        <f aca="false">IF(CHỈ_SỐ_TRẮNG!$G$24="","",CHỈ_SỐ_TRẮNG!$G$24+HỆ_SỐ_PHẨM_CHẤT!$G$7)</f>
        <v/>
      </c>
      <c r="H97" s="29" t="str">
        <f aca="false">IF(CHỈ_SỐ_TRẮNG!$H$24="","",ROUND(CHỈ_SỐ_TRẮNG!$H$24*HỆ_SỐ_PHẨM_CHẤT!$F$7,1))</f>
        <v/>
      </c>
      <c r="I97" s="30" t="str">
        <f aca="false">IF(CHỈ_SỐ_TRẮNG!$I$24="","",CHỈ_SỐ_TRẮNG!$I$24+HỆ_SỐ_PHẨM_CHẤT!$H$7)</f>
        <v/>
      </c>
      <c r="J97" s="30" t="str">
        <f aca="false">IF(CHỈ_SỐ_TRẮNG!$J$24="","",CHỈ_SỐ_TRẮNG!$J$24+HỆ_SỐ_PHẨM_CHẤT!$I$7)</f>
        <v/>
      </c>
      <c r="K97" s="30" t="str">
        <f aca="false">IF(CHỈ_SỐ_TRẮNG!$K$24="","",CHỈ_SỐ_TRẮNG!$K$24+HỆ_SỐ_PHẨM_CHẤT!$J$7)</f>
        <v/>
      </c>
      <c r="L97" s="31" t="str">
        <f aca="false">IF(CHỈ_SỐ_TRẮNG!$L$24="","",CHỈ_SỐ_TRẮNG!$L$24+HỆ_SỐ_PHẨM_CHẤT!$K$7)</f>
        <v/>
      </c>
      <c r="M97" s="30" t="str">
        <f aca="false">IF(CHỈ_SỐ_TRẮNG!$M$24="","",CHỈ_SỐ_TRẮNG!$M$24+HỆ_SỐ_PHẨM_CHẤT!$L$7)</f>
        <v/>
      </c>
      <c r="N97" s="22" t="str">
        <f aca="false">IF(OR(N(I97)&gt;0.1,N(K97)&gt;0.1),"Né/chí mạng vượt 10%","")</f>
        <v/>
      </c>
    </row>
    <row r="98" customFormat="false" ht="15" hidden="false" customHeight="true" outlineLevel="0" collapsed="false">
      <c r="A98" s="22" t="str">
        <f aca="false">NHÂN_VẬT!$A$24</f>
        <v>NV20</v>
      </c>
      <c r="B98" s="22" t="str">
        <f aca="false">IF(NHÂN_VẬT!$B$24="","",NHÂN_VẬT!$B$24)</f>
        <v/>
      </c>
      <c r="C98" s="22" t="str">
        <f aca="false">HỆ_SỐ_PHẨM_CHẤT!$A$8</f>
        <v>Tím</v>
      </c>
      <c r="D98" s="28" t="str">
        <f aca="false">IF(CHỈ_SỐ_TRẮNG!$D$24="","",ROUND(CHỈ_SỐ_TRẮNG!$D$24*HỆ_SỐ_PHẨM_CHẤT!$C$8,0))</f>
        <v/>
      </c>
      <c r="E98" s="28" t="str">
        <f aca="false">IF(CHỈ_SỐ_TRẮNG!$E$24="","",ROUND(CHỈ_SỐ_TRẮNG!$E$24*HỆ_SỐ_PHẨM_CHẤT!$D$8,0))</f>
        <v/>
      </c>
      <c r="F98" s="28" t="str">
        <f aca="false">IF(CHỈ_SỐ_TRẮNG!$F$24="","",ROUND(CHỈ_SỐ_TRẮNG!$F$24*HỆ_SỐ_PHẨM_CHẤT!$E$8,0))</f>
        <v/>
      </c>
      <c r="G98" s="29" t="str">
        <f aca="false">IF(CHỈ_SỐ_TRẮNG!$G$24="","",CHỈ_SỐ_TRẮNG!$G$24+HỆ_SỐ_PHẨM_CHẤT!$G$8)</f>
        <v/>
      </c>
      <c r="H98" s="29" t="str">
        <f aca="false">IF(CHỈ_SỐ_TRẮNG!$H$24="","",ROUND(CHỈ_SỐ_TRẮNG!$H$24*HỆ_SỐ_PHẨM_CHẤT!$F$8,1))</f>
        <v/>
      </c>
      <c r="I98" s="30" t="str">
        <f aca="false">IF(CHỈ_SỐ_TRẮNG!$I$24="","",CHỈ_SỐ_TRẮNG!$I$24+HỆ_SỐ_PHẨM_CHẤT!$H$8)</f>
        <v/>
      </c>
      <c r="J98" s="30" t="str">
        <f aca="false">IF(CHỈ_SỐ_TRẮNG!$J$24="","",CHỈ_SỐ_TRẮNG!$J$24+HỆ_SỐ_PHẨM_CHẤT!$I$8)</f>
        <v/>
      </c>
      <c r="K98" s="30" t="str">
        <f aca="false">IF(CHỈ_SỐ_TRẮNG!$K$24="","",CHỈ_SỐ_TRẮNG!$K$24+HỆ_SỐ_PHẨM_CHẤT!$J$8)</f>
        <v/>
      </c>
      <c r="L98" s="31" t="str">
        <f aca="false">IF(CHỈ_SỐ_TRẮNG!$L$24="","",CHỈ_SỐ_TRẮNG!$L$24+HỆ_SỐ_PHẨM_CHẤT!$K$8)</f>
        <v/>
      </c>
      <c r="M98" s="30" t="str">
        <f aca="false">IF(CHỈ_SỐ_TRẮNG!$M$24="","",CHỈ_SỐ_TRẮNG!$M$24+HỆ_SỐ_PHẨM_CHẤT!$L$8)</f>
        <v/>
      </c>
      <c r="N98" s="22" t="str">
        <f aca="false">IF(OR(N(I98)&gt;0.1,N(K98)&gt;0.1),"Né/chí mạng vượt 10%","")</f>
        <v/>
      </c>
    </row>
    <row r="99" customFormat="false" ht="15" hidden="false" customHeight="true" outlineLevel="0" collapsed="false">
      <c r="A99" s="22" t="str">
        <f aca="false">NHÂN_VẬT!$A$24</f>
        <v>NV20</v>
      </c>
      <c r="B99" s="22" t="str">
        <f aca="false">IF(NHÂN_VẬT!$B$24="","",NHÂN_VẬT!$B$24)</f>
        <v/>
      </c>
      <c r="C99" s="22" t="str">
        <f aca="false">HỆ_SỐ_PHẨM_CHẤT!$A$9</f>
        <v>Đỏ</v>
      </c>
      <c r="D99" s="28" t="str">
        <f aca="false">IF(CHỈ_SỐ_TRẮNG!$D$24="","",ROUND(CHỈ_SỐ_TRẮNG!$D$24*HỆ_SỐ_PHẨM_CHẤT!$C$9,0))</f>
        <v/>
      </c>
      <c r="E99" s="28" t="str">
        <f aca="false">IF(CHỈ_SỐ_TRẮNG!$E$24="","",ROUND(CHỈ_SỐ_TRẮNG!$E$24*HỆ_SỐ_PHẨM_CHẤT!$D$9,0))</f>
        <v/>
      </c>
      <c r="F99" s="28" t="str">
        <f aca="false">IF(CHỈ_SỐ_TRẮNG!$F$24="","",ROUND(CHỈ_SỐ_TRẮNG!$F$24*HỆ_SỐ_PHẨM_CHẤT!$E$9,0))</f>
        <v/>
      </c>
      <c r="G99" s="29" t="str">
        <f aca="false">IF(CHỈ_SỐ_TRẮNG!$G$24="","",CHỈ_SỐ_TRẮNG!$G$24+HỆ_SỐ_PHẨM_CHẤT!$G$9)</f>
        <v/>
      </c>
      <c r="H99" s="29" t="str">
        <f aca="false">IF(CHỈ_SỐ_TRẮNG!$H$24="","",ROUND(CHỈ_SỐ_TRẮNG!$H$24*HỆ_SỐ_PHẨM_CHẤT!$F$9,1))</f>
        <v/>
      </c>
      <c r="I99" s="30" t="str">
        <f aca="false">IF(CHỈ_SỐ_TRẮNG!$I$24="","",CHỈ_SỐ_TRẮNG!$I$24+HỆ_SỐ_PHẨM_CHẤT!$H$9)</f>
        <v/>
      </c>
      <c r="J99" s="30" t="str">
        <f aca="false">IF(CHỈ_SỐ_TRẮNG!$J$24="","",CHỈ_SỐ_TRẮNG!$J$24+HỆ_SỐ_PHẨM_CHẤT!$I$9)</f>
        <v/>
      </c>
      <c r="K99" s="30" t="str">
        <f aca="false">IF(CHỈ_SỐ_TRẮNG!$K$24="","",CHỈ_SỐ_TRẮNG!$K$24+HỆ_SỐ_PHẨM_CHẤT!$J$9)</f>
        <v/>
      </c>
      <c r="L99" s="31" t="str">
        <f aca="false">IF(CHỈ_SỐ_TRẮNG!$L$24="","",CHỈ_SỐ_TRẮNG!$L$24+HỆ_SỐ_PHẨM_CHẤT!$K$9)</f>
        <v/>
      </c>
      <c r="M99" s="30" t="str">
        <f aca="false">IF(CHỈ_SỐ_TRẮNG!$M$24="","",CHỈ_SỐ_TRẮNG!$M$24+HỆ_SỐ_PHẨM_CHẤT!$L$9)</f>
        <v/>
      </c>
      <c r="N99" s="22" t="str">
        <f aca="false">IF(OR(N(I99)&gt;0.1,N(K99)&gt;0.1),"Né/chí mạng vượt 10%","")</f>
        <v/>
      </c>
    </row>
    <row r="100" customFormat="false" ht="15" hidden="false" customHeight="true" outlineLevel="0" collapsed="false">
      <c r="A100" s="22" t="str">
        <f aca="false">NHÂN_VẬT!$A$25</f>
        <v>NV21</v>
      </c>
      <c r="B100" s="22" t="str">
        <f aca="false">IF(NHÂN_VẬT!$B$25="","",NHÂN_VẬT!$B$25)</f>
        <v/>
      </c>
      <c r="C100" s="22" t="str">
        <f aca="false">HỆ_SỐ_PHẨM_CHẤT!$A$5</f>
        <v>Trắng</v>
      </c>
      <c r="D100" s="28" t="str">
        <f aca="false">IF(CHỈ_SỐ_TRẮNG!$D$25="","",ROUND(CHỈ_SỐ_TRẮNG!$D$25*HỆ_SỐ_PHẨM_CHẤT!$C$5,0))</f>
        <v/>
      </c>
      <c r="E100" s="28" t="str">
        <f aca="false">IF(CHỈ_SỐ_TRẮNG!$E$25="","",ROUND(CHỈ_SỐ_TRẮNG!$E$25*HỆ_SỐ_PHẨM_CHẤT!$D$5,0))</f>
        <v/>
      </c>
      <c r="F100" s="28" t="str">
        <f aca="false">IF(CHỈ_SỐ_TRẮNG!$F$25="","",ROUND(CHỈ_SỐ_TRẮNG!$F$25*HỆ_SỐ_PHẨM_CHẤT!$E$5,0))</f>
        <v/>
      </c>
      <c r="G100" s="29" t="str">
        <f aca="false">IF(CHỈ_SỐ_TRẮNG!$G$25="","",CHỈ_SỐ_TRẮNG!$G$25+HỆ_SỐ_PHẨM_CHẤT!$G$5)</f>
        <v/>
      </c>
      <c r="H100" s="29" t="str">
        <f aca="false">IF(CHỈ_SỐ_TRẮNG!$H$25="","",ROUND(CHỈ_SỐ_TRẮNG!$H$25*HỆ_SỐ_PHẨM_CHẤT!$F$5,1))</f>
        <v/>
      </c>
      <c r="I100" s="30" t="str">
        <f aca="false">IF(CHỈ_SỐ_TRẮNG!$I$25="","",CHỈ_SỐ_TRẮNG!$I$25+HỆ_SỐ_PHẨM_CHẤT!$H$5)</f>
        <v/>
      </c>
      <c r="J100" s="30" t="str">
        <f aca="false">IF(CHỈ_SỐ_TRẮNG!$J$25="","",CHỈ_SỐ_TRẮNG!$J$25+HỆ_SỐ_PHẨM_CHẤT!$I$5)</f>
        <v/>
      </c>
      <c r="K100" s="30" t="str">
        <f aca="false">IF(CHỈ_SỐ_TRẮNG!$K$25="","",CHỈ_SỐ_TRẮNG!$K$25+HỆ_SỐ_PHẨM_CHẤT!$J$5)</f>
        <v/>
      </c>
      <c r="L100" s="31" t="str">
        <f aca="false">IF(CHỈ_SỐ_TRẮNG!$L$25="","",CHỈ_SỐ_TRẮNG!$L$25+HỆ_SỐ_PHẨM_CHẤT!$K$5)</f>
        <v/>
      </c>
      <c r="M100" s="30" t="str">
        <f aca="false">IF(CHỈ_SỐ_TRẮNG!$M$25="","",CHỈ_SỐ_TRẮNG!$M$25+HỆ_SỐ_PHẨM_CHẤT!$L$5)</f>
        <v/>
      </c>
      <c r="N100" s="22" t="str">
        <f aca="false">IF(OR(N(I100)&gt;0.1,N(K100)&gt;0.1),"Né/chí mạng vượt 10%","")</f>
        <v/>
      </c>
    </row>
    <row r="101" customFormat="false" ht="15" hidden="false" customHeight="true" outlineLevel="0" collapsed="false">
      <c r="A101" s="22" t="str">
        <f aca="false">NHÂN_VẬT!$A$25</f>
        <v>NV21</v>
      </c>
      <c r="B101" s="22" t="str">
        <f aca="false">IF(NHÂN_VẬT!$B$25="","",NHÂN_VẬT!$B$25)</f>
        <v/>
      </c>
      <c r="C101" s="22" t="str">
        <f aca="false">HỆ_SỐ_PHẨM_CHẤT!$A$6</f>
        <v>Xanh lá</v>
      </c>
      <c r="D101" s="28" t="str">
        <f aca="false">IF(CHỈ_SỐ_TRẮNG!$D$25="","",ROUND(CHỈ_SỐ_TRẮNG!$D$25*HỆ_SỐ_PHẨM_CHẤT!$C$6,0))</f>
        <v/>
      </c>
      <c r="E101" s="28" t="str">
        <f aca="false">IF(CHỈ_SỐ_TRẮNG!$E$25="","",ROUND(CHỈ_SỐ_TRẮNG!$E$25*HỆ_SỐ_PHẨM_CHẤT!$D$6,0))</f>
        <v/>
      </c>
      <c r="F101" s="28" t="str">
        <f aca="false">IF(CHỈ_SỐ_TRẮNG!$F$25="","",ROUND(CHỈ_SỐ_TRẮNG!$F$25*HỆ_SỐ_PHẨM_CHẤT!$E$6,0))</f>
        <v/>
      </c>
      <c r="G101" s="29" t="str">
        <f aca="false">IF(CHỈ_SỐ_TRẮNG!$G$25="","",CHỈ_SỐ_TRẮNG!$G$25+HỆ_SỐ_PHẨM_CHẤT!$G$6)</f>
        <v/>
      </c>
      <c r="H101" s="29" t="str">
        <f aca="false">IF(CHỈ_SỐ_TRẮNG!$H$25="","",ROUND(CHỈ_SỐ_TRẮNG!$H$25*HỆ_SỐ_PHẨM_CHẤT!$F$6,1))</f>
        <v/>
      </c>
      <c r="I101" s="30" t="str">
        <f aca="false">IF(CHỈ_SỐ_TRẮNG!$I$25="","",CHỈ_SỐ_TRẮNG!$I$25+HỆ_SỐ_PHẨM_CHẤT!$H$6)</f>
        <v/>
      </c>
      <c r="J101" s="30" t="str">
        <f aca="false">IF(CHỈ_SỐ_TRẮNG!$J$25="","",CHỈ_SỐ_TRẮNG!$J$25+HỆ_SỐ_PHẨM_CHẤT!$I$6)</f>
        <v/>
      </c>
      <c r="K101" s="30" t="str">
        <f aca="false">IF(CHỈ_SỐ_TRẮNG!$K$25="","",CHỈ_SỐ_TRẮNG!$K$25+HỆ_SỐ_PHẨM_CHẤT!$J$6)</f>
        <v/>
      </c>
      <c r="L101" s="31" t="str">
        <f aca="false">IF(CHỈ_SỐ_TRẮNG!$L$25="","",CHỈ_SỐ_TRẮNG!$L$25+HỆ_SỐ_PHẨM_CHẤT!$K$6)</f>
        <v/>
      </c>
      <c r="M101" s="30" t="str">
        <f aca="false">IF(CHỈ_SỐ_TRẮNG!$M$25="","",CHỈ_SỐ_TRẮNG!$M$25+HỆ_SỐ_PHẨM_CHẤT!$L$6)</f>
        <v/>
      </c>
      <c r="N101" s="22" t="str">
        <f aca="false">IF(OR(N(I101)&gt;0.1,N(K101)&gt;0.1),"Né/chí mạng vượt 10%","")</f>
        <v/>
      </c>
    </row>
    <row r="102" customFormat="false" ht="15" hidden="false" customHeight="true" outlineLevel="0" collapsed="false">
      <c r="A102" s="22" t="str">
        <f aca="false">NHÂN_VẬT!$A$25</f>
        <v>NV21</v>
      </c>
      <c r="B102" s="22" t="str">
        <f aca="false">IF(NHÂN_VẬT!$B$25="","",NHÂN_VẬT!$B$25)</f>
        <v/>
      </c>
      <c r="C102" s="22" t="str">
        <f aca="false">HỆ_SỐ_PHẨM_CHẤT!$A$7</f>
        <v>Xanh dương</v>
      </c>
      <c r="D102" s="28" t="str">
        <f aca="false">IF(CHỈ_SỐ_TRẮNG!$D$25="","",ROUND(CHỈ_SỐ_TRẮNG!$D$25*HỆ_SỐ_PHẨM_CHẤT!$C$7,0))</f>
        <v/>
      </c>
      <c r="E102" s="28" t="str">
        <f aca="false">IF(CHỈ_SỐ_TRẮNG!$E$25="","",ROUND(CHỈ_SỐ_TRẮNG!$E$25*HỆ_SỐ_PHẨM_CHẤT!$D$7,0))</f>
        <v/>
      </c>
      <c r="F102" s="28" t="str">
        <f aca="false">IF(CHỈ_SỐ_TRẮNG!$F$25="","",ROUND(CHỈ_SỐ_TRẮNG!$F$25*HỆ_SỐ_PHẨM_CHẤT!$E$7,0))</f>
        <v/>
      </c>
      <c r="G102" s="29" t="str">
        <f aca="false">IF(CHỈ_SỐ_TRẮNG!$G$25="","",CHỈ_SỐ_TRẮNG!$G$25+HỆ_SỐ_PHẨM_CHẤT!$G$7)</f>
        <v/>
      </c>
      <c r="H102" s="29" t="str">
        <f aca="false">IF(CHỈ_SỐ_TRẮNG!$H$25="","",ROUND(CHỈ_SỐ_TRẮNG!$H$25*HỆ_SỐ_PHẨM_CHẤT!$F$7,1))</f>
        <v/>
      </c>
      <c r="I102" s="30" t="str">
        <f aca="false">IF(CHỈ_SỐ_TRẮNG!$I$25="","",CHỈ_SỐ_TRẮNG!$I$25+HỆ_SỐ_PHẨM_CHẤT!$H$7)</f>
        <v/>
      </c>
      <c r="J102" s="30" t="str">
        <f aca="false">IF(CHỈ_SỐ_TRẮNG!$J$25="","",CHỈ_SỐ_TRẮNG!$J$25+HỆ_SỐ_PHẨM_CHẤT!$I$7)</f>
        <v/>
      </c>
      <c r="K102" s="30" t="str">
        <f aca="false">IF(CHỈ_SỐ_TRẮNG!$K$25="","",CHỈ_SỐ_TRẮNG!$K$25+HỆ_SỐ_PHẨM_CHẤT!$J$7)</f>
        <v/>
      </c>
      <c r="L102" s="31" t="str">
        <f aca="false">IF(CHỈ_SỐ_TRẮNG!$L$25="","",CHỈ_SỐ_TRẮNG!$L$25+HỆ_SỐ_PHẨM_CHẤT!$K$7)</f>
        <v/>
      </c>
      <c r="M102" s="30" t="str">
        <f aca="false">IF(CHỈ_SỐ_TRẮNG!$M$25="","",CHỈ_SỐ_TRẮNG!$M$25+HỆ_SỐ_PHẨM_CHẤT!$L$7)</f>
        <v/>
      </c>
      <c r="N102" s="22" t="str">
        <f aca="false">IF(OR(N(I102)&gt;0.1,N(K102)&gt;0.1),"Né/chí mạng vượt 10%","")</f>
        <v/>
      </c>
    </row>
    <row r="103" customFormat="false" ht="15" hidden="false" customHeight="true" outlineLevel="0" collapsed="false">
      <c r="A103" s="22" t="str">
        <f aca="false">NHÂN_VẬT!$A$25</f>
        <v>NV21</v>
      </c>
      <c r="B103" s="22" t="str">
        <f aca="false">IF(NHÂN_VẬT!$B$25="","",NHÂN_VẬT!$B$25)</f>
        <v/>
      </c>
      <c r="C103" s="22" t="str">
        <f aca="false">HỆ_SỐ_PHẨM_CHẤT!$A$8</f>
        <v>Tím</v>
      </c>
      <c r="D103" s="28" t="str">
        <f aca="false">IF(CHỈ_SỐ_TRẮNG!$D$25="","",ROUND(CHỈ_SỐ_TRẮNG!$D$25*HỆ_SỐ_PHẨM_CHẤT!$C$8,0))</f>
        <v/>
      </c>
      <c r="E103" s="28" t="str">
        <f aca="false">IF(CHỈ_SỐ_TRẮNG!$E$25="","",ROUND(CHỈ_SỐ_TRẮNG!$E$25*HỆ_SỐ_PHẨM_CHẤT!$D$8,0))</f>
        <v/>
      </c>
      <c r="F103" s="28" t="str">
        <f aca="false">IF(CHỈ_SỐ_TRẮNG!$F$25="","",ROUND(CHỈ_SỐ_TRẮNG!$F$25*HỆ_SỐ_PHẨM_CHẤT!$E$8,0))</f>
        <v/>
      </c>
      <c r="G103" s="29" t="str">
        <f aca="false">IF(CHỈ_SỐ_TRẮNG!$G$25="","",CHỈ_SỐ_TRẮNG!$G$25+HỆ_SỐ_PHẨM_CHẤT!$G$8)</f>
        <v/>
      </c>
      <c r="H103" s="29" t="str">
        <f aca="false">IF(CHỈ_SỐ_TRẮNG!$H$25="","",ROUND(CHỈ_SỐ_TRẮNG!$H$25*HỆ_SỐ_PHẨM_CHẤT!$F$8,1))</f>
        <v/>
      </c>
      <c r="I103" s="30" t="str">
        <f aca="false">IF(CHỈ_SỐ_TRẮNG!$I$25="","",CHỈ_SỐ_TRẮNG!$I$25+HỆ_SỐ_PHẨM_CHẤT!$H$8)</f>
        <v/>
      </c>
      <c r="J103" s="30" t="str">
        <f aca="false">IF(CHỈ_SỐ_TRẮNG!$J$25="","",CHỈ_SỐ_TRẮNG!$J$25+HỆ_SỐ_PHẨM_CHẤT!$I$8)</f>
        <v/>
      </c>
      <c r="K103" s="30" t="str">
        <f aca="false">IF(CHỈ_SỐ_TRẮNG!$K$25="","",CHỈ_SỐ_TRẮNG!$K$25+HỆ_SỐ_PHẨM_CHẤT!$J$8)</f>
        <v/>
      </c>
      <c r="L103" s="31" t="str">
        <f aca="false">IF(CHỈ_SỐ_TRẮNG!$L$25="","",CHỈ_SỐ_TRẮNG!$L$25+HỆ_SỐ_PHẨM_CHẤT!$K$8)</f>
        <v/>
      </c>
      <c r="M103" s="30" t="str">
        <f aca="false">IF(CHỈ_SỐ_TRẮNG!$M$25="","",CHỈ_SỐ_TRẮNG!$M$25+HỆ_SỐ_PHẨM_CHẤT!$L$8)</f>
        <v/>
      </c>
      <c r="N103" s="22" t="str">
        <f aca="false">IF(OR(N(I103)&gt;0.1,N(K103)&gt;0.1),"Né/chí mạng vượt 10%","")</f>
        <v/>
      </c>
    </row>
    <row r="104" customFormat="false" ht="15" hidden="false" customHeight="true" outlineLevel="0" collapsed="false">
      <c r="A104" s="22" t="str">
        <f aca="false">NHÂN_VẬT!$A$25</f>
        <v>NV21</v>
      </c>
      <c r="B104" s="22" t="str">
        <f aca="false">IF(NHÂN_VẬT!$B$25="","",NHÂN_VẬT!$B$25)</f>
        <v/>
      </c>
      <c r="C104" s="22" t="str">
        <f aca="false">HỆ_SỐ_PHẨM_CHẤT!$A$9</f>
        <v>Đỏ</v>
      </c>
      <c r="D104" s="28" t="str">
        <f aca="false">IF(CHỈ_SỐ_TRẮNG!$D$25="","",ROUND(CHỈ_SỐ_TRẮNG!$D$25*HỆ_SỐ_PHẨM_CHẤT!$C$9,0))</f>
        <v/>
      </c>
      <c r="E104" s="28" t="str">
        <f aca="false">IF(CHỈ_SỐ_TRẮNG!$E$25="","",ROUND(CHỈ_SỐ_TRẮNG!$E$25*HỆ_SỐ_PHẨM_CHẤT!$D$9,0))</f>
        <v/>
      </c>
      <c r="F104" s="28" t="str">
        <f aca="false">IF(CHỈ_SỐ_TRẮNG!$F$25="","",ROUND(CHỈ_SỐ_TRẮNG!$F$25*HỆ_SỐ_PHẨM_CHẤT!$E$9,0))</f>
        <v/>
      </c>
      <c r="G104" s="29" t="str">
        <f aca="false">IF(CHỈ_SỐ_TRẮNG!$G$25="","",CHỈ_SỐ_TRẮNG!$G$25+HỆ_SỐ_PHẨM_CHẤT!$G$9)</f>
        <v/>
      </c>
      <c r="H104" s="29" t="str">
        <f aca="false">IF(CHỈ_SỐ_TRẮNG!$H$25="","",ROUND(CHỈ_SỐ_TRẮNG!$H$25*HỆ_SỐ_PHẨM_CHẤT!$F$9,1))</f>
        <v/>
      </c>
      <c r="I104" s="30" t="str">
        <f aca="false">IF(CHỈ_SỐ_TRẮNG!$I$25="","",CHỈ_SỐ_TRẮNG!$I$25+HỆ_SỐ_PHẨM_CHẤT!$H$9)</f>
        <v/>
      </c>
      <c r="J104" s="30" t="str">
        <f aca="false">IF(CHỈ_SỐ_TRẮNG!$J$25="","",CHỈ_SỐ_TRẮNG!$J$25+HỆ_SỐ_PHẨM_CHẤT!$I$9)</f>
        <v/>
      </c>
      <c r="K104" s="30" t="str">
        <f aca="false">IF(CHỈ_SỐ_TRẮNG!$K$25="","",CHỈ_SỐ_TRẮNG!$K$25+HỆ_SỐ_PHẨM_CHẤT!$J$9)</f>
        <v/>
      </c>
      <c r="L104" s="31" t="str">
        <f aca="false">IF(CHỈ_SỐ_TRẮNG!$L$25="","",CHỈ_SỐ_TRẮNG!$L$25+HỆ_SỐ_PHẨM_CHẤT!$K$9)</f>
        <v/>
      </c>
      <c r="M104" s="30" t="str">
        <f aca="false">IF(CHỈ_SỐ_TRẮNG!$M$25="","",CHỈ_SỐ_TRẮNG!$M$25+HỆ_SỐ_PHẨM_CHẤT!$L$9)</f>
        <v/>
      </c>
      <c r="N104" s="22" t="str">
        <f aca="false">IF(OR(N(I104)&gt;0.1,N(K104)&gt;0.1),"Né/chí mạng vượt 10%","")</f>
        <v/>
      </c>
    </row>
    <row r="105" customFormat="false" ht="15" hidden="false" customHeight="true" outlineLevel="0" collapsed="false">
      <c r="A105" s="22" t="str">
        <f aca="false">NHÂN_VẬT!$A$26</f>
        <v>NV22</v>
      </c>
      <c r="B105" s="22" t="str">
        <f aca="false">IF(NHÂN_VẬT!$B$26="","",NHÂN_VẬT!$B$26)</f>
        <v/>
      </c>
      <c r="C105" s="22" t="str">
        <f aca="false">HỆ_SỐ_PHẨM_CHẤT!$A$5</f>
        <v>Trắng</v>
      </c>
      <c r="D105" s="28" t="str">
        <f aca="false">IF(CHỈ_SỐ_TRẮNG!$D$26="","",ROUND(CHỈ_SỐ_TRẮNG!$D$26*HỆ_SỐ_PHẨM_CHẤT!$C$5,0))</f>
        <v/>
      </c>
      <c r="E105" s="28" t="str">
        <f aca="false">IF(CHỈ_SỐ_TRẮNG!$E$26="","",ROUND(CHỈ_SỐ_TRẮNG!$E$26*HỆ_SỐ_PHẨM_CHẤT!$D$5,0))</f>
        <v/>
      </c>
      <c r="F105" s="28" t="str">
        <f aca="false">IF(CHỈ_SỐ_TRẮNG!$F$26="","",ROUND(CHỈ_SỐ_TRẮNG!$F$26*HỆ_SỐ_PHẨM_CHẤT!$E$5,0))</f>
        <v/>
      </c>
      <c r="G105" s="29" t="str">
        <f aca="false">IF(CHỈ_SỐ_TRẮNG!$G$26="","",CHỈ_SỐ_TRẮNG!$G$26+HỆ_SỐ_PHẨM_CHẤT!$G$5)</f>
        <v/>
      </c>
      <c r="H105" s="29" t="str">
        <f aca="false">IF(CHỈ_SỐ_TRẮNG!$H$26="","",ROUND(CHỈ_SỐ_TRẮNG!$H$26*HỆ_SỐ_PHẨM_CHẤT!$F$5,1))</f>
        <v/>
      </c>
      <c r="I105" s="30" t="str">
        <f aca="false">IF(CHỈ_SỐ_TRẮNG!$I$26="","",CHỈ_SỐ_TRẮNG!$I$26+HỆ_SỐ_PHẨM_CHẤT!$H$5)</f>
        <v/>
      </c>
      <c r="J105" s="30" t="str">
        <f aca="false">IF(CHỈ_SỐ_TRẮNG!$J$26="","",CHỈ_SỐ_TRẮNG!$J$26+HỆ_SỐ_PHẨM_CHẤT!$I$5)</f>
        <v/>
      </c>
      <c r="K105" s="30" t="str">
        <f aca="false">IF(CHỈ_SỐ_TRẮNG!$K$26="","",CHỈ_SỐ_TRẮNG!$K$26+HỆ_SỐ_PHẨM_CHẤT!$J$5)</f>
        <v/>
      </c>
      <c r="L105" s="31" t="str">
        <f aca="false">IF(CHỈ_SỐ_TRẮNG!$L$26="","",CHỈ_SỐ_TRẮNG!$L$26+HỆ_SỐ_PHẨM_CHẤT!$K$5)</f>
        <v/>
      </c>
      <c r="M105" s="30" t="str">
        <f aca="false">IF(CHỈ_SỐ_TRẮNG!$M$26="","",CHỈ_SỐ_TRẮNG!$M$26+HỆ_SỐ_PHẨM_CHẤT!$L$5)</f>
        <v/>
      </c>
      <c r="N105" s="22" t="str">
        <f aca="false">IF(OR(N(I105)&gt;0.1,N(K105)&gt;0.1),"Né/chí mạng vượt 10%","")</f>
        <v/>
      </c>
    </row>
    <row r="106" customFormat="false" ht="15" hidden="false" customHeight="true" outlineLevel="0" collapsed="false">
      <c r="A106" s="22" t="str">
        <f aca="false">NHÂN_VẬT!$A$26</f>
        <v>NV22</v>
      </c>
      <c r="B106" s="22" t="str">
        <f aca="false">IF(NHÂN_VẬT!$B$26="","",NHÂN_VẬT!$B$26)</f>
        <v/>
      </c>
      <c r="C106" s="22" t="str">
        <f aca="false">HỆ_SỐ_PHẨM_CHẤT!$A$6</f>
        <v>Xanh lá</v>
      </c>
      <c r="D106" s="28" t="str">
        <f aca="false">IF(CHỈ_SỐ_TRẮNG!$D$26="","",ROUND(CHỈ_SỐ_TRẮNG!$D$26*HỆ_SỐ_PHẨM_CHẤT!$C$6,0))</f>
        <v/>
      </c>
      <c r="E106" s="28" t="str">
        <f aca="false">IF(CHỈ_SỐ_TRẮNG!$E$26="","",ROUND(CHỈ_SỐ_TRẮNG!$E$26*HỆ_SỐ_PHẨM_CHẤT!$D$6,0))</f>
        <v/>
      </c>
      <c r="F106" s="28" t="str">
        <f aca="false">IF(CHỈ_SỐ_TRẮNG!$F$26="","",ROUND(CHỈ_SỐ_TRẮNG!$F$26*HỆ_SỐ_PHẨM_CHẤT!$E$6,0))</f>
        <v/>
      </c>
      <c r="G106" s="29" t="str">
        <f aca="false">IF(CHỈ_SỐ_TRẮNG!$G$26="","",CHỈ_SỐ_TRẮNG!$G$26+HỆ_SỐ_PHẨM_CHẤT!$G$6)</f>
        <v/>
      </c>
      <c r="H106" s="29" t="str">
        <f aca="false">IF(CHỈ_SỐ_TRẮNG!$H$26="","",ROUND(CHỈ_SỐ_TRẮNG!$H$26*HỆ_SỐ_PHẨM_CHẤT!$F$6,1))</f>
        <v/>
      </c>
      <c r="I106" s="30" t="str">
        <f aca="false">IF(CHỈ_SỐ_TRẮNG!$I$26="","",CHỈ_SỐ_TRẮNG!$I$26+HỆ_SỐ_PHẨM_CHẤT!$H$6)</f>
        <v/>
      </c>
      <c r="J106" s="30" t="str">
        <f aca="false">IF(CHỈ_SỐ_TRẮNG!$J$26="","",CHỈ_SỐ_TRẮNG!$J$26+HỆ_SỐ_PHẨM_CHẤT!$I$6)</f>
        <v/>
      </c>
      <c r="K106" s="30" t="str">
        <f aca="false">IF(CHỈ_SỐ_TRẮNG!$K$26="","",CHỈ_SỐ_TRẮNG!$K$26+HỆ_SỐ_PHẨM_CHẤT!$J$6)</f>
        <v/>
      </c>
      <c r="L106" s="31" t="str">
        <f aca="false">IF(CHỈ_SỐ_TRẮNG!$L$26="","",CHỈ_SỐ_TRẮNG!$L$26+HỆ_SỐ_PHẨM_CHẤT!$K$6)</f>
        <v/>
      </c>
      <c r="M106" s="30" t="str">
        <f aca="false">IF(CHỈ_SỐ_TRẮNG!$M$26="","",CHỈ_SỐ_TRẮNG!$M$26+HỆ_SỐ_PHẨM_CHẤT!$L$6)</f>
        <v/>
      </c>
      <c r="N106" s="22" t="str">
        <f aca="false">IF(OR(N(I106)&gt;0.1,N(K106)&gt;0.1),"Né/chí mạng vượt 10%","")</f>
        <v/>
      </c>
    </row>
    <row r="107" customFormat="false" ht="15" hidden="false" customHeight="true" outlineLevel="0" collapsed="false">
      <c r="A107" s="22" t="str">
        <f aca="false">NHÂN_VẬT!$A$26</f>
        <v>NV22</v>
      </c>
      <c r="B107" s="22" t="str">
        <f aca="false">IF(NHÂN_VẬT!$B$26="","",NHÂN_VẬT!$B$26)</f>
        <v/>
      </c>
      <c r="C107" s="22" t="str">
        <f aca="false">HỆ_SỐ_PHẨM_CHẤT!$A$7</f>
        <v>Xanh dương</v>
      </c>
      <c r="D107" s="28" t="str">
        <f aca="false">IF(CHỈ_SỐ_TRẮNG!$D$26="","",ROUND(CHỈ_SỐ_TRẮNG!$D$26*HỆ_SỐ_PHẨM_CHẤT!$C$7,0))</f>
        <v/>
      </c>
      <c r="E107" s="28" t="str">
        <f aca="false">IF(CHỈ_SỐ_TRẮNG!$E$26="","",ROUND(CHỈ_SỐ_TRẮNG!$E$26*HỆ_SỐ_PHẨM_CHẤT!$D$7,0))</f>
        <v/>
      </c>
      <c r="F107" s="28" t="str">
        <f aca="false">IF(CHỈ_SỐ_TRẮNG!$F$26="","",ROUND(CHỈ_SỐ_TRẮNG!$F$26*HỆ_SỐ_PHẨM_CHẤT!$E$7,0))</f>
        <v/>
      </c>
      <c r="G107" s="29" t="str">
        <f aca="false">IF(CHỈ_SỐ_TRẮNG!$G$26="","",CHỈ_SỐ_TRẮNG!$G$26+HỆ_SỐ_PHẨM_CHẤT!$G$7)</f>
        <v/>
      </c>
      <c r="H107" s="29" t="str">
        <f aca="false">IF(CHỈ_SỐ_TRẮNG!$H$26="","",ROUND(CHỈ_SỐ_TRẮNG!$H$26*HỆ_SỐ_PHẨM_CHẤT!$F$7,1))</f>
        <v/>
      </c>
      <c r="I107" s="30" t="str">
        <f aca="false">IF(CHỈ_SỐ_TRẮNG!$I$26="","",CHỈ_SỐ_TRẮNG!$I$26+HỆ_SỐ_PHẨM_CHẤT!$H$7)</f>
        <v/>
      </c>
      <c r="J107" s="30" t="str">
        <f aca="false">IF(CHỈ_SỐ_TRẮNG!$J$26="","",CHỈ_SỐ_TRẮNG!$J$26+HỆ_SỐ_PHẨM_CHẤT!$I$7)</f>
        <v/>
      </c>
      <c r="K107" s="30" t="str">
        <f aca="false">IF(CHỈ_SỐ_TRẮNG!$K$26="","",CHỈ_SỐ_TRẮNG!$K$26+HỆ_SỐ_PHẨM_CHẤT!$J$7)</f>
        <v/>
      </c>
      <c r="L107" s="31" t="str">
        <f aca="false">IF(CHỈ_SỐ_TRẮNG!$L$26="","",CHỈ_SỐ_TRẮNG!$L$26+HỆ_SỐ_PHẨM_CHẤT!$K$7)</f>
        <v/>
      </c>
      <c r="M107" s="30" t="str">
        <f aca="false">IF(CHỈ_SỐ_TRẮNG!$M$26="","",CHỈ_SỐ_TRẮNG!$M$26+HỆ_SỐ_PHẨM_CHẤT!$L$7)</f>
        <v/>
      </c>
      <c r="N107" s="22" t="str">
        <f aca="false">IF(OR(N(I107)&gt;0.1,N(K107)&gt;0.1),"Né/chí mạng vượt 10%","")</f>
        <v/>
      </c>
    </row>
    <row r="108" customFormat="false" ht="15" hidden="false" customHeight="true" outlineLevel="0" collapsed="false">
      <c r="A108" s="22" t="str">
        <f aca="false">NHÂN_VẬT!$A$26</f>
        <v>NV22</v>
      </c>
      <c r="B108" s="22" t="str">
        <f aca="false">IF(NHÂN_VẬT!$B$26="","",NHÂN_VẬT!$B$26)</f>
        <v/>
      </c>
      <c r="C108" s="22" t="str">
        <f aca="false">HỆ_SỐ_PHẨM_CHẤT!$A$8</f>
        <v>Tím</v>
      </c>
      <c r="D108" s="28" t="str">
        <f aca="false">IF(CHỈ_SỐ_TRẮNG!$D$26="","",ROUND(CHỈ_SỐ_TRẮNG!$D$26*HỆ_SỐ_PHẨM_CHẤT!$C$8,0))</f>
        <v/>
      </c>
      <c r="E108" s="28" t="str">
        <f aca="false">IF(CHỈ_SỐ_TRẮNG!$E$26="","",ROUND(CHỈ_SỐ_TRẮNG!$E$26*HỆ_SỐ_PHẨM_CHẤT!$D$8,0))</f>
        <v/>
      </c>
      <c r="F108" s="28" t="str">
        <f aca="false">IF(CHỈ_SỐ_TRẮNG!$F$26="","",ROUND(CHỈ_SỐ_TRẮNG!$F$26*HỆ_SỐ_PHẨM_CHẤT!$E$8,0))</f>
        <v/>
      </c>
      <c r="G108" s="29" t="str">
        <f aca="false">IF(CHỈ_SỐ_TRẮNG!$G$26="","",CHỈ_SỐ_TRẮNG!$G$26+HỆ_SỐ_PHẨM_CHẤT!$G$8)</f>
        <v/>
      </c>
      <c r="H108" s="29" t="str">
        <f aca="false">IF(CHỈ_SỐ_TRẮNG!$H$26="","",ROUND(CHỈ_SỐ_TRẮNG!$H$26*HỆ_SỐ_PHẨM_CHẤT!$F$8,1))</f>
        <v/>
      </c>
      <c r="I108" s="30" t="str">
        <f aca="false">IF(CHỈ_SỐ_TRẮNG!$I$26="","",CHỈ_SỐ_TRẮNG!$I$26+HỆ_SỐ_PHẨM_CHẤT!$H$8)</f>
        <v/>
      </c>
      <c r="J108" s="30" t="str">
        <f aca="false">IF(CHỈ_SỐ_TRẮNG!$J$26="","",CHỈ_SỐ_TRẮNG!$J$26+HỆ_SỐ_PHẨM_CHẤT!$I$8)</f>
        <v/>
      </c>
      <c r="K108" s="30" t="str">
        <f aca="false">IF(CHỈ_SỐ_TRẮNG!$K$26="","",CHỈ_SỐ_TRẮNG!$K$26+HỆ_SỐ_PHẨM_CHẤT!$J$8)</f>
        <v/>
      </c>
      <c r="L108" s="31" t="str">
        <f aca="false">IF(CHỈ_SỐ_TRẮNG!$L$26="","",CHỈ_SỐ_TRẮNG!$L$26+HỆ_SỐ_PHẨM_CHẤT!$K$8)</f>
        <v/>
      </c>
      <c r="M108" s="30" t="str">
        <f aca="false">IF(CHỈ_SỐ_TRẮNG!$M$26="","",CHỈ_SỐ_TRẮNG!$M$26+HỆ_SỐ_PHẨM_CHẤT!$L$8)</f>
        <v/>
      </c>
      <c r="N108" s="22" t="str">
        <f aca="false">IF(OR(N(I108)&gt;0.1,N(K108)&gt;0.1),"Né/chí mạng vượt 10%","")</f>
        <v/>
      </c>
    </row>
    <row r="109" customFormat="false" ht="15" hidden="false" customHeight="true" outlineLevel="0" collapsed="false">
      <c r="A109" s="22" t="str">
        <f aca="false">NHÂN_VẬT!$A$26</f>
        <v>NV22</v>
      </c>
      <c r="B109" s="22" t="str">
        <f aca="false">IF(NHÂN_VẬT!$B$26="","",NHÂN_VẬT!$B$26)</f>
        <v/>
      </c>
      <c r="C109" s="22" t="str">
        <f aca="false">HỆ_SỐ_PHẨM_CHẤT!$A$9</f>
        <v>Đỏ</v>
      </c>
      <c r="D109" s="28" t="str">
        <f aca="false">IF(CHỈ_SỐ_TRẮNG!$D$26="","",ROUND(CHỈ_SỐ_TRẮNG!$D$26*HỆ_SỐ_PHẨM_CHẤT!$C$9,0))</f>
        <v/>
      </c>
      <c r="E109" s="28" t="str">
        <f aca="false">IF(CHỈ_SỐ_TRẮNG!$E$26="","",ROUND(CHỈ_SỐ_TRẮNG!$E$26*HỆ_SỐ_PHẨM_CHẤT!$D$9,0))</f>
        <v/>
      </c>
      <c r="F109" s="28" t="str">
        <f aca="false">IF(CHỈ_SỐ_TRẮNG!$F$26="","",ROUND(CHỈ_SỐ_TRẮNG!$F$26*HỆ_SỐ_PHẨM_CHẤT!$E$9,0))</f>
        <v/>
      </c>
      <c r="G109" s="29" t="str">
        <f aca="false">IF(CHỈ_SỐ_TRẮNG!$G$26="","",CHỈ_SỐ_TRẮNG!$G$26+HỆ_SỐ_PHẨM_CHẤT!$G$9)</f>
        <v/>
      </c>
      <c r="H109" s="29" t="str">
        <f aca="false">IF(CHỈ_SỐ_TRẮNG!$H$26="","",ROUND(CHỈ_SỐ_TRẮNG!$H$26*HỆ_SỐ_PHẨM_CHẤT!$F$9,1))</f>
        <v/>
      </c>
      <c r="I109" s="30" t="str">
        <f aca="false">IF(CHỈ_SỐ_TRẮNG!$I$26="","",CHỈ_SỐ_TRẮNG!$I$26+HỆ_SỐ_PHẨM_CHẤT!$H$9)</f>
        <v/>
      </c>
      <c r="J109" s="30" t="str">
        <f aca="false">IF(CHỈ_SỐ_TRẮNG!$J$26="","",CHỈ_SỐ_TRẮNG!$J$26+HỆ_SỐ_PHẨM_CHẤT!$I$9)</f>
        <v/>
      </c>
      <c r="K109" s="30" t="str">
        <f aca="false">IF(CHỈ_SỐ_TRẮNG!$K$26="","",CHỈ_SỐ_TRẮNG!$K$26+HỆ_SỐ_PHẨM_CHẤT!$J$9)</f>
        <v/>
      </c>
      <c r="L109" s="31" t="str">
        <f aca="false">IF(CHỈ_SỐ_TRẮNG!$L$26="","",CHỈ_SỐ_TRẮNG!$L$26+HỆ_SỐ_PHẨM_CHẤT!$K$9)</f>
        <v/>
      </c>
      <c r="M109" s="30" t="str">
        <f aca="false">IF(CHỈ_SỐ_TRẮNG!$M$26="","",CHỈ_SỐ_TRẮNG!$M$26+HỆ_SỐ_PHẨM_CHẤT!$L$9)</f>
        <v/>
      </c>
      <c r="N109" s="22" t="str">
        <f aca="false">IF(OR(N(I109)&gt;0.1,N(K109)&gt;0.1),"Né/chí mạng vượt 10%","")</f>
        <v/>
      </c>
    </row>
    <row r="110" customFormat="false" ht="15" hidden="false" customHeight="true" outlineLevel="0" collapsed="false">
      <c r="A110" s="22" t="str">
        <f aca="false">NHÂN_VẬT!$A$27</f>
        <v>NV23</v>
      </c>
      <c r="B110" s="22" t="str">
        <f aca="false">IF(NHÂN_VẬT!$B$27="","",NHÂN_VẬT!$B$27)</f>
        <v/>
      </c>
      <c r="C110" s="22" t="str">
        <f aca="false">HỆ_SỐ_PHẨM_CHẤT!$A$5</f>
        <v>Trắng</v>
      </c>
      <c r="D110" s="28" t="str">
        <f aca="false">IF(CHỈ_SỐ_TRẮNG!$D$27="","",ROUND(CHỈ_SỐ_TRẮNG!$D$27*HỆ_SỐ_PHẨM_CHẤT!$C$5,0))</f>
        <v/>
      </c>
      <c r="E110" s="28" t="str">
        <f aca="false">IF(CHỈ_SỐ_TRẮNG!$E$27="","",ROUND(CHỈ_SỐ_TRẮNG!$E$27*HỆ_SỐ_PHẨM_CHẤT!$D$5,0))</f>
        <v/>
      </c>
      <c r="F110" s="28" t="str">
        <f aca="false">IF(CHỈ_SỐ_TRẮNG!$F$27="","",ROUND(CHỈ_SỐ_TRẮNG!$F$27*HỆ_SỐ_PHẨM_CHẤT!$E$5,0))</f>
        <v/>
      </c>
      <c r="G110" s="29" t="str">
        <f aca="false">IF(CHỈ_SỐ_TRẮNG!$G$27="","",CHỈ_SỐ_TRẮNG!$G$27+HỆ_SỐ_PHẨM_CHẤT!$G$5)</f>
        <v/>
      </c>
      <c r="H110" s="29" t="str">
        <f aca="false">IF(CHỈ_SỐ_TRẮNG!$H$27="","",ROUND(CHỈ_SỐ_TRẮNG!$H$27*HỆ_SỐ_PHẨM_CHẤT!$F$5,1))</f>
        <v/>
      </c>
      <c r="I110" s="30" t="str">
        <f aca="false">IF(CHỈ_SỐ_TRẮNG!$I$27="","",CHỈ_SỐ_TRẮNG!$I$27+HỆ_SỐ_PHẨM_CHẤT!$H$5)</f>
        <v/>
      </c>
      <c r="J110" s="30" t="str">
        <f aca="false">IF(CHỈ_SỐ_TRẮNG!$J$27="","",CHỈ_SỐ_TRẮNG!$J$27+HỆ_SỐ_PHẨM_CHẤT!$I$5)</f>
        <v/>
      </c>
      <c r="K110" s="30" t="str">
        <f aca="false">IF(CHỈ_SỐ_TRẮNG!$K$27="","",CHỈ_SỐ_TRẮNG!$K$27+HỆ_SỐ_PHẨM_CHẤT!$J$5)</f>
        <v/>
      </c>
      <c r="L110" s="31" t="str">
        <f aca="false">IF(CHỈ_SỐ_TRẮNG!$L$27="","",CHỈ_SỐ_TRẮNG!$L$27+HỆ_SỐ_PHẨM_CHẤT!$K$5)</f>
        <v/>
      </c>
      <c r="M110" s="30" t="str">
        <f aca="false">IF(CHỈ_SỐ_TRẮNG!$M$27="","",CHỈ_SỐ_TRẮNG!$M$27+HỆ_SỐ_PHẨM_CHẤT!$L$5)</f>
        <v/>
      </c>
      <c r="N110" s="22" t="str">
        <f aca="false">IF(OR(N(I110)&gt;0.1,N(K110)&gt;0.1),"Né/chí mạng vượt 10%","")</f>
        <v/>
      </c>
    </row>
    <row r="111" customFormat="false" ht="15" hidden="false" customHeight="true" outlineLevel="0" collapsed="false">
      <c r="A111" s="22" t="str">
        <f aca="false">NHÂN_VẬT!$A$27</f>
        <v>NV23</v>
      </c>
      <c r="B111" s="22" t="str">
        <f aca="false">IF(NHÂN_VẬT!$B$27="","",NHÂN_VẬT!$B$27)</f>
        <v/>
      </c>
      <c r="C111" s="22" t="str">
        <f aca="false">HỆ_SỐ_PHẨM_CHẤT!$A$6</f>
        <v>Xanh lá</v>
      </c>
      <c r="D111" s="28" t="str">
        <f aca="false">IF(CHỈ_SỐ_TRẮNG!$D$27="","",ROUND(CHỈ_SỐ_TRẮNG!$D$27*HỆ_SỐ_PHẨM_CHẤT!$C$6,0))</f>
        <v/>
      </c>
      <c r="E111" s="28" t="str">
        <f aca="false">IF(CHỈ_SỐ_TRẮNG!$E$27="","",ROUND(CHỈ_SỐ_TRẮNG!$E$27*HỆ_SỐ_PHẨM_CHẤT!$D$6,0))</f>
        <v/>
      </c>
      <c r="F111" s="28" t="str">
        <f aca="false">IF(CHỈ_SỐ_TRẮNG!$F$27="","",ROUND(CHỈ_SỐ_TRẮNG!$F$27*HỆ_SỐ_PHẨM_CHẤT!$E$6,0))</f>
        <v/>
      </c>
      <c r="G111" s="29" t="str">
        <f aca="false">IF(CHỈ_SỐ_TRẮNG!$G$27="","",CHỈ_SỐ_TRẮNG!$G$27+HỆ_SỐ_PHẨM_CHẤT!$G$6)</f>
        <v/>
      </c>
      <c r="H111" s="29" t="str">
        <f aca="false">IF(CHỈ_SỐ_TRẮNG!$H$27="","",ROUND(CHỈ_SỐ_TRẮNG!$H$27*HỆ_SỐ_PHẨM_CHẤT!$F$6,1))</f>
        <v/>
      </c>
      <c r="I111" s="30" t="str">
        <f aca="false">IF(CHỈ_SỐ_TRẮNG!$I$27="","",CHỈ_SỐ_TRẮNG!$I$27+HỆ_SỐ_PHẨM_CHẤT!$H$6)</f>
        <v/>
      </c>
      <c r="J111" s="30" t="str">
        <f aca="false">IF(CHỈ_SỐ_TRẮNG!$J$27="","",CHỈ_SỐ_TRẮNG!$J$27+HỆ_SỐ_PHẨM_CHẤT!$I$6)</f>
        <v/>
      </c>
      <c r="K111" s="30" t="str">
        <f aca="false">IF(CHỈ_SỐ_TRẮNG!$K$27="","",CHỈ_SỐ_TRẮNG!$K$27+HỆ_SỐ_PHẨM_CHẤT!$J$6)</f>
        <v/>
      </c>
      <c r="L111" s="31" t="str">
        <f aca="false">IF(CHỈ_SỐ_TRẮNG!$L$27="","",CHỈ_SỐ_TRẮNG!$L$27+HỆ_SỐ_PHẨM_CHẤT!$K$6)</f>
        <v/>
      </c>
      <c r="M111" s="30" t="str">
        <f aca="false">IF(CHỈ_SỐ_TRẮNG!$M$27="","",CHỈ_SỐ_TRẮNG!$M$27+HỆ_SỐ_PHẨM_CHẤT!$L$6)</f>
        <v/>
      </c>
      <c r="N111" s="22" t="str">
        <f aca="false">IF(OR(N(I111)&gt;0.1,N(K111)&gt;0.1),"Né/chí mạng vượt 10%","")</f>
        <v/>
      </c>
    </row>
    <row r="112" customFormat="false" ht="15" hidden="false" customHeight="true" outlineLevel="0" collapsed="false">
      <c r="A112" s="22" t="str">
        <f aca="false">NHÂN_VẬT!$A$27</f>
        <v>NV23</v>
      </c>
      <c r="B112" s="22" t="str">
        <f aca="false">IF(NHÂN_VẬT!$B$27="","",NHÂN_VẬT!$B$27)</f>
        <v/>
      </c>
      <c r="C112" s="22" t="str">
        <f aca="false">HỆ_SỐ_PHẨM_CHẤT!$A$7</f>
        <v>Xanh dương</v>
      </c>
      <c r="D112" s="28" t="str">
        <f aca="false">IF(CHỈ_SỐ_TRẮNG!$D$27="","",ROUND(CHỈ_SỐ_TRẮNG!$D$27*HỆ_SỐ_PHẨM_CHẤT!$C$7,0))</f>
        <v/>
      </c>
      <c r="E112" s="28" t="str">
        <f aca="false">IF(CHỈ_SỐ_TRẮNG!$E$27="","",ROUND(CHỈ_SỐ_TRẮNG!$E$27*HỆ_SỐ_PHẨM_CHẤT!$D$7,0))</f>
        <v/>
      </c>
      <c r="F112" s="28" t="str">
        <f aca="false">IF(CHỈ_SỐ_TRẮNG!$F$27="","",ROUND(CHỈ_SỐ_TRẮNG!$F$27*HỆ_SỐ_PHẨM_CHẤT!$E$7,0))</f>
        <v/>
      </c>
      <c r="G112" s="29" t="str">
        <f aca="false">IF(CHỈ_SỐ_TRẮNG!$G$27="","",CHỈ_SỐ_TRẮNG!$G$27+HỆ_SỐ_PHẨM_CHẤT!$G$7)</f>
        <v/>
      </c>
      <c r="H112" s="29" t="str">
        <f aca="false">IF(CHỈ_SỐ_TRẮNG!$H$27="","",ROUND(CHỈ_SỐ_TRẮNG!$H$27*HỆ_SỐ_PHẨM_CHẤT!$F$7,1))</f>
        <v/>
      </c>
      <c r="I112" s="30" t="str">
        <f aca="false">IF(CHỈ_SỐ_TRẮNG!$I$27="","",CHỈ_SỐ_TRẮNG!$I$27+HỆ_SỐ_PHẨM_CHẤT!$H$7)</f>
        <v/>
      </c>
      <c r="J112" s="30" t="str">
        <f aca="false">IF(CHỈ_SỐ_TRẮNG!$J$27="","",CHỈ_SỐ_TRẮNG!$J$27+HỆ_SỐ_PHẨM_CHẤT!$I$7)</f>
        <v/>
      </c>
      <c r="K112" s="30" t="str">
        <f aca="false">IF(CHỈ_SỐ_TRẮNG!$K$27="","",CHỈ_SỐ_TRẮNG!$K$27+HỆ_SỐ_PHẨM_CHẤT!$J$7)</f>
        <v/>
      </c>
      <c r="L112" s="31" t="str">
        <f aca="false">IF(CHỈ_SỐ_TRẮNG!$L$27="","",CHỈ_SỐ_TRẮNG!$L$27+HỆ_SỐ_PHẨM_CHẤT!$K$7)</f>
        <v/>
      </c>
      <c r="M112" s="30" t="str">
        <f aca="false">IF(CHỈ_SỐ_TRẮNG!$M$27="","",CHỈ_SỐ_TRẮNG!$M$27+HỆ_SỐ_PHẨM_CHẤT!$L$7)</f>
        <v/>
      </c>
      <c r="N112" s="22" t="str">
        <f aca="false">IF(OR(N(I112)&gt;0.1,N(K112)&gt;0.1),"Né/chí mạng vượt 10%","")</f>
        <v/>
      </c>
    </row>
    <row r="113" customFormat="false" ht="15" hidden="false" customHeight="true" outlineLevel="0" collapsed="false">
      <c r="A113" s="22" t="str">
        <f aca="false">NHÂN_VẬT!$A$27</f>
        <v>NV23</v>
      </c>
      <c r="B113" s="22" t="str">
        <f aca="false">IF(NHÂN_VẬT!$B$27="","",NHÂN_VẬT!$B$27)</f>
        <v/>
      </c>
      <c r="C113" s="22" t="str">
        <f aca="false">HỆ_SỐ_PHẨM_CHẤT!$A$8</f>
        <v>Tím</v>
      </c>
      <c r="D113" s="28" t="str">
        <f aca="false">IF(CHỈ_SỐ_TRẮNG!$D$27="","",ROUND(CHỈ_SỐ_TRẮNG!$D$27*HỆ_SỐ_PHẨM_CHẤT!$C$8,0))</f>
        <v/>
      </c>
      <c r="E113" s="28" t="str">
        <f aca="false">IF(CHỈ_SỐ_TRẮNG!$E$27="","",ROUND(CHỈ_SỐ_TRẮNG!$E$27*HỆ_SỐ_PHẨM_CHẤT!$D$8,0))</f>
        <v/>
      </c>
      <c r="F113" s="28" t="str">
        <f aca="false">IF(CHỈ_SỐ_TRẮNG!$F$27="","",ROUND(CHỈ_SỐ_TRẮNG!$F$27*HỆ_SỐ_PHẨM_CHẤT!$E$8,0))</f>
        <v/>
      </c>
      <c r="G113" s="29" t="str">
        <f aca="false">IF(CHỈ_SỐ_TRẮNG!$G$27="","",CHỈ_SỐ_TRẮNG!$G$27+HỆ_SỐ_PHẨM_CHẤT!$G$8)</f>
        <v/>
      </c>
      <c r="H113" s="29" t="str">
        <f aca="false">IF(CHỈ_SỐ_TRẮNG!$H$27="","",ROUND(CHỈ_SỐ_TRẮNG!$H$27*HỆ_SỐ_PHẨM_CHẤT!$F$8,1))</f>
        <v/>
      </c>
      <c r="I113" s="30" t="str">
        <f aca="false">IF(CHỈ_SỐ_TRẮNG!$I$27="","",CHỈ_SỐ_TRẮNG!$I$27+HỆ_SỐ_PHẨM_CHẤT!$H$8)</f>
        <v/>
      </c>
      <c r="J113" s="30" t="str">
        <f aca="false">IF(CHỈ_SỐ_TRẮNG!$J$27="","",CHỈ_SỐ_TRẮNG!$J$27+HỆ_SỐ_PHẨM_CHẤT!$I$8)</f>
        <v/>
      </c>
      <c r="K113" s="30" t="str">
        <f aca="false">IF(CHỈ_SỐ_TRẮNG!$K$27="","",CHỈ_SỐ_TRẮNG!$K$27+HỆ_SỐ_PHẨM_CHẤT!$J$8)</f>
        <v/>
      </c>
      <c r="L113" s="31" t="str">
        <f aca="false">IF(CHỈ_SỐ_TRẮNG!$L$27="","",CHỈ_SỐ_TRẮNG!$L$27+HỆ_SỐ_PHẨM_CHẤT!$K$8)</f>
        <v/>
      </c>
      <c r="M113" s="30" t="str">
        <f aca="false">IF(CHỈ_SỐ_TRẮNG!$M$27="","",CHỈ_SỐ_TRẮNG!$M$27+HỆ_SỐ_PHẨM_CHẤT!$L$8)</f>
        <v/>
      </c>
      <c r="N113" s="22" t="str">
        <f aca="false">IF(OR(N(I113)&gt;0.1,N(K113)&gt;0.1),"Né/chí mạng vượt 10%","")</f>
        <v/>
      </c>
    </row>
    <row r="114" customFormat="false" ht="15" hidden="false" customHeight="true" outlineLevel="0" collapsed="false">
      <c r="A114" s="22" t="str">
        <f aca="false">NHÂN_VẬT!$A$27</f>
        <v>NV23</v>
      </c>
      <c r="B114" s="22" t="str">
        <f aca="false">IF(NHÂN_VẬT!$B$27="","",NHÂN_VẬT!$B$27)</f>
        <v/>
      </c>
      <c r="C114" s="22" t="str">
        <f aca="false">HỆ_SỐ_PHẨM_CHẤT!$A$9</f>
        <v>Đỏ</v>
      </c>
      <c r="D114" s="28" t="str">
        <f aca="false">IF(CHỈ_SỐ_TRẮNG!$D$27="","",ROUND(CHỈ_SỐ_TRẮNG!$D$27*HỆ_SỐ_PHẨM_CHẤT!$C$9,0))</f>
        <v/>
      </c>
      <c r="E114" s="28" t="str">
        <f aca="false">IF(CHỈ_SỐ_TRẮNG!$E$27="","",ROUND(CHỈ_SỐ_TRẮNG!$E$27*HỆ_SỐ_PHẨM_CHẤT!$D$9,0))</f>
        <v/>
      </c>
      <c r="F114" s="28" t="str">
        <f aca="false">IF(CHỈ_SỐ_TRẮNG!$F$27="","",ROUND(CHỈ_SỐ_TRẮNG!$F$27*HỆ_SỐ_PHẨM_CHẤT!$E$9,0))</f>
        <v/>
      </c>
      <c r="G114" s="29" t="str">
        <f aca="false">IF(CHỈ_SỐ_TRẮNG!$G$27="","",CHỈ_SỐ_TRẮNG!$G$27+HỆ_SỐ_PHẨM_CHẤT!$G$9)</f>
        <v/>
      </c>
      <c r="H114" s="29" t="str">
        <f aca="false">IF(CHỈ_SỐ_TRẮNG!$H$27="","",ROUND(CHỈ_SỐ_TRẮNG!$H$27*HỆ_SỐ_PHẨM_CHẤT!$F$9,1))</f>
        <v/>
      </c>
      <c r="I114" s="30" t="str">
        <f aca="false">IF(CHỈ_SỐ_TRẮNG!$I$27="","",CHỈ_SỐ_TRẮNG!$I$27+HỆ_SỐ_PHẨM_CHẤT!$H$9)</f>
        <v/>
      </c>
      <c r="J114" s="30" t="str">
        <f aca="false">IF(CHỈ_SỐ_TRẮNG!$J$27="","",CHỈ_SỐ_TRẮNG!$J$27+HỆ_SỐ_PHẨM_CHẤT!$I$9)</f>
        <v/>
      </c>
      <c r="K114" s="30" t="str">
        <f aca="false">IF(CHỈ_SỐ_TRẮNG!$K$27="","",CHỈ_SỐ_TRẮNG!$K$27+HỆ_SỐ_PHẨM_CHẤT!$J$9)</f>
        <v/>
      </c>
      <c r="L114" s="31" t="str">
        <f aca="false">IF(CHỈ_SỐ_TRẮNG!$L$27="","",CHỈ_SỐ_TRẮNG!$L$27+HỆ_SỐ_PHẨM_CHẤT!$K$9)</f>
        <v/>
      </c>
      <c r="M114" s="30" t="str">
        <f aca="false">IF(CHỈ_SỐ_TRẮNG!$M$27="","",CHỈ_SỐ_TRẮNG!$M$27+HỆ_SỐ_PHẨM_CHẤT!$L$9)</f>
        <v/>
      </c>
      <c r="N114" s="22" t="str">
        <f aca="false">IF(OR(N(I114)&gt;0.1,N(K114)&gt;0.1),"Né/chí mạng vượt 10%","")</f>
        <v/>
      </c>
    </row>
    <row r="115" customFormat="false" ht="15" hidden="false" customHeight="true" outlineLevel="0" collapsed="false">
      <c r="A115" s="22" t="str">
        <f aca="false">NHÂN_VẬT!$A$28</f>
        <v>NV24</v>
      </c>
      <c r="B115" s="22" t="str">
        <f aca="false">IF(NHÂN_VẬT!$B$28="","",NHÂN_VẬT!$B$28)</f>
        <v/>
      </c>
      <c r="C115" s="22" t="str">
        <f aca="false">HỆ_SỐ_PHẨM_CHẤT!$A$5</f>
        <v>Trắng</v>
      </c>
      <c r="D115" s="28" t="str">
        <f aca="false">IF(CHỈ_SỐ_TRẮNG!$D$28="","",ROUND(CHỈ_SỐ_TRẮNG!$D$28*HỆ_SỐ_PHẨM_CHẤT!$C$5,0))</f>
        <v/>
      </c>
      <c r="E115" s="28" t="str">
        <f aca="false">IF(CHỈ_SỐ_TRẮNG!$E$28="","",ROUND(CHỈ_SỐ_TRẮNG!$E$28*HỆ_SỐ_PHẨM_CHẤT!$D$5,0))</f>
        <v/>
      </c>
      <c r="F115" s="28" t="str">
        <f aca="false">IF(CHỈ_SỐ_TRẮNG!$F$28="","",ROUND(CHỈ_SỐ_TRẮNG!$F$28*HỆ_SỐ_PHẨM_CHẤT!$E$5,0))</f>
        <v/>
      </c>
      <c r="G115" s="29" t="str">
        <f aca="false">IF(CHỈ_SỐ_TRẮNG!$G$28="","",CHỈ_SỐ_TRẮNG!$G$28+HỆ_SỐ_PHẨM_CHẤT!$G$5)</f>
        <v/>
      </c>
      <c r="H115" s="29" t="str">
        <f aca="false">IF(CHỈ_SỐ_TRẮNG!$H$28="","",ROUND(CHỈ_SỐ_TRẮNG!$H$28*HỆ_SỐ_PHẨM_CHẤT!$F$5,1))</f>
        <v/>
      </c>
      <c r="I115" s="30" t="str">
        <f aca="false">IF(CHỈ_SỐ_TRẮNG!$I$28="","",CHỈ_SỐ_TRẮNG!$I$28+HỆ_SỐ_PHẨM_CHẤT!$H$5)</f>
        <v/>
      </c>
      <c r="J115" s="30" t="str">
        <f aca="false">IF(CHỈ_SỐ_TRẮNG!$J$28="","",CHỈ_SỐ_TRẮNG!$J$28+HỆ_SỐ_PHẨM_CHẤT!$I$5)</f>
        <v/>
      </c>
      <c r="K115" s="30" t="str">
        <f aca="false">IF(CHỈ_SỐ_TRẮNG!$K$28="","",CHỈ_SỐ_TRẮNG!$K$28+HỆ_SỐ_PHẨM_CHẤT!$J$5)</f>
        <v/>
      </c>
      <c r="L115" s="31" t="str">
        <f aca="false">IF(CHỈ_SỐ_TRẮNG!$L$28="","",CHỈ_SỐ_TRẮNG!$L$28+HỆ_SỐ_PHẨM_CHẤT!$K$5)</f>
        <v/>
      </c>
      <c r="M115" s="30" t="str">
        <f aca="false">IF(CHỈ_SỐ_TRẮNG!$M$28="","",CHỈ_SỐ_TRẮNG!$M$28+HỆ_SỐ_PHẨM_CHẤT!$L$5)</f>
        <v/>
      </c>
      <c r="N115" s="22" t="str">
        <f aca="false">IF(OR(N(I115)&gt;0.1,N(K115)&gt;0.1),"Né/chí mạng vượt 10%","")</f>
        <v/>
      </c>
    </row>
    <row r="116" customFormat="false" ht="15" hidden="false" customHeight="true" outlineLevel="0" collapsed="false">
      <c r="A116" s="22" t="str">
        <f aca="false">NHÂN_VẬT!$A$28</f>
        <v>NV24</v>
      </c>
      <c r="B116" s="22" t="str">
        <f aca="false">IF(NHÂN_VẬT!$B$28="","",NHÂN_VẬT!$B$28)</f>
        <v/>
      </c>
      <c r="C116" s="22" t="str">
        <f aca="false">HỆ_SỐ_PHẨM_CHẤT!$A$6</f>
        <v>Xanh lá</v>
      </c>
      <c r="D116" s="28" t="str">
        <f aca="false">IF(CHỈ_SỐ_TRẮNG!$D$28="","",ROUND(CHỈ_SỐ_TRẮNG!$D$28*HỆ_SỐ_PHẨM_CHẤT!$C$6,0))</f>
        <v/>
      </c>
      <c r="E116" s="28" t="str">
        <f aca="false">IF(CHỈ_SỐ_TRẮNG!$E$28="","",ROUND(CHỈ_SỐ_TRẮNG!$E$28*HỆ_SỐ_PHẨM_CHẤT!$D$6,0))</f>
        <v/>
      </c>
      <c r="F116" s="28" t="str">
        <f aca="false">IF(CHỈ_SỐ_TRẮNG!$F$28="","",ROUND(CHỈ_SỐ_TRẮNG!$F$28*HỆ_SỐ_PHẨM_CHẤT!$E$6,0))</f>
        <v/>
      </c>
      <c r="G116" s="29" t="str">
        <f aca="false">IF(CHỈ_SỐ_TRẮNG!$G$28="","",CHỈ_SỐ_TRẮNG!$G$28+HỆ_SỐ_PHẨM_CHẤT!$G$6)</f>
        <v/>
      </c>
      <c r="H116" s="29" t="str">
        <f aca="false">IF(CHỈ_SỐ_TRẮNG!$H$28="","",ROUND(CHỈ_SỐ_TRẮNG!$H$28*HỆ_SỐ_PHẨM_CHẤT!$F$6,1))</f>
        <v/>
      </c>
      <c r="I116" s="30" t="str">
        <f aca="false">IF(CHỈ_SỐ_TRẮNG!$I$28="","",CHỈ_SỐ_TRẮNG!$I$28+HỆ_SỐ_PHẨM_CHẤT!$H$6)</f>
        <v/>
      </c>
      <c r="J116" s="30" t="str">
        <f aca="false">IF(CHỈ_SỐ_TRẮNG!$J$28="","",CHỈ_SỐ_TRẮNG!$J$28+HỆ_SỐ_PHẨM_CHẤT!$I$6)</f>
        <v/>
      </c>
      <c r="K116" s="30" t="str">
        <f aca="false">IF(CHỈ_SỐ_TRẮNG!$K$28="","",CHỈ_SỐ_TRẮNG!$K$28+HỆ_SỐ_PHẨM_CHẤT!$J$6)</f>
        <v/>
      </c>
      <c r="L116" s="31" t="str">
        <f aca="false">IF(CHỈ_SỐ_TRẮNG!$L$28="","",CHỈ_SỐ_TRẮNG!$L$28+HỆ_SỐ_PHẨM_CHẤT!$K$6)</f>
        <v/>
      </c>
      <c r="M116" s="30" t="str">
        <f aca="false">IF(CHỈ_SỐ_TRẮNG!$M$28="","",CHỈ_SỐ_TRẮNG!$M$28+HỆ_SỐ_PHẨM_CHẤT!$L$6)</f>
        <v/>
      </c>
      <c r="N116" s="22" t="str">
        <f aca="false">IF(OR(N(I116)&gt;0.1,N(K116)&gt;0.1),"Né/chí mạng vượt 10%","")</f>
        <v/>
      </c>
    </row>
    <row r="117" customFormat="false" ht="15" hidden="false" customHeight="true" outlineLevel="0" collapsed="false">
      <c r="A117" s="22" t="str">
        <f aca="false">NHÂN_VẬT!$A$28</f>
        <v>NV24</v>
      </c>
      <c r="B117" s="22" t="str">
        <f aca="false">IF(NHÂN_VẬT!$B$28="","",NHÂN_VẬT!$B$28)</f>
        <v/>
      </c>
      <c r="C117" s="22" t="str">
        <f aca="false">HỆ_SỐ_PHẨM_CHẤT!$A$7</f>
        <v>Xanh dương</v>
      </c>
      <c r="D117" s="28" t="str">
        <f aca="false">IF(CHỈ_SỐ_TRẮNG!$D$28="","",ROUND(CHỈ_SỐ_TRẮNG!$D$28*HỆ_SỐ_PHẨM_CHẤT!$C$7,0))</f>
        <v/>
      </c>
      <c r="E117" s="28" t="str">
        <f aca="false">IF(CHỈ_SỐ_TRẮNG!$E$28="","",ROUND(CHỈ_SỐ_TRẮNG!$E$28*HỆ_SỐ_PHẨM_CHẤT!$D$7,0))</f>
        <v/>
      </c>
      <c r="F117" s="28" t="str">
        <f aca="false">IF(CHỈ_SỐ_TRẮNG!$F$28="","",ROUND(CHỈ_SỐ_TRẮNG!$F$28*HỆ_SỐ_PHẨM_CHẤT!$E$7,0))</f>
        <v/>
      </c>
      <c r="G117" s="29" t="str">
        <f aca="false">IF(CHỈ_SỐ_TRẮNG!$G$28="","",CHỈ_SỐ_TRẮNG!$G$28+HỆ_SỐ_PHẨM_CHẤT!$G$7)</f>
        <v/>
      </c>
      <c r="H117" s="29" t="str">
        <f aca="false">IF(CHỈ_SỐ_TRẮNG!$H$28="","",ROUND(CHỈ_SỐ_TRẮNG!$H$28*HỆ_SỐ_PHẨM_CHẤT!$F$7,1))</f>
        <v/>
      </c>
      <c r="I117" s="30" t="str">
        <f aca="false">IF(CHỈ_SỐ_TRẮNG!$I$28="","",CHỈ_SỐ_TRẮNG!$I$28+HỆ_SỐ_PHẨM_CHẤT!$H$7)</f>
        <v/>
      </c>
      <c r="J117" s="30" t="str">
        <f aca="false">IF(CHỈ_SỐ_TRẮNG!$J$28="","",CHỈ_SỐ_TRẮNG!$J$28+HỆ_SỐ_PHẨM_CHẤT!$I$7)</f>
        <v/>
      </c>
      <c r="K117" s="30" t="str">
        <f aca="false">IF(CHỈ_SỐ_TRẮNG!$K$28="","",CHỈ_SỐ_TRẮNG!$K$28+HỆ_SỐ_PHẨM_CHẤT!$J$7)</f>
        <v/>
      </c>
      <c r="L117" s="31" t="str">
        <f aca="false">IF(CHỈ_SỐ_TRẮNG!$L$28="","",CHỈ_SỐ_TRẮNG!$L$28+HỆ_SỐ_PHẨM_CHẤT!$K$7)</f>
        <v/>
      </c>
      <c r="M117" s="30" t="str">
        <f aca="false">IF(CHỈ_SỐ_TRẮNG!$M$28="","",CHỈ_SỐ_TRẮNG!$M$28+HỆ_SỐ_PHẨM_CHẤT!$L$7)</f>
        <v/>
      </c>
      <c r="N117" s="22" t="str">
        <f aca="false">IF(OR(N(I117)&gt;0.1,N(K117)&gt;0.1),"Né/chí mạng vượt 10%","")</f>
        <v/>
      </c>
    </row>
    <row r="118" customFormat="false" ht="15" hidden="false" customHeight="true" outlineLevel="0" collapsed="false">
      <c r="A118" s="22" t="str">
        <f aca="false">NHÂN_VẬT!$A$28</f>
        <v>NV24</v>
      </c>
      <c r="B118" s="22" t="str">
        <f aca="false">IF(NHÂN_VẬT!$B$28="","",NHÂN_VẬT!$B$28)</f>
        <v/>
      </c>
      <c r="C118" s="22" t="str">
        <f aca="false">HỆ_SỐ_PHẨM_CHẤT!$A$8</f>
        <v>Tím</v>
      </c>
      <c r="D118" s="28" t="str">
        <f aca="false">IF(CHỈ_SỐ_TRẮNG!$D$28="","",ROUND(CHỈ_SỐ_TRẮNG!$D$28*HỆ_SỐ_PHẨM_CHẤT!$C$8,0))</f>
        <v/>
      </c>
      <c r="E118" s="28" t="str">
        <f aca="false">IF(CHỈ_SỐ_TRẮNG!$E$28="","",ROUND(CHỈ_SỐ_TRẮNG!$E$28*HỆ_SỐ_PHẨM_CHẤT!$D$8,0))</f>
        <v/>
      </c>
      <c r="F118" s="28" t="str">
        <f aca="false">IF(CHỈ_SỐ_TRẮNG!$F$28="","",ROUND(CHỈ_SỐ_TRẮNG!$F$28*HỆ_SỐ_PHẨM_CHẤT!$E$8,0))</f>
        <v/>
      </c>
      <c r="G118" s="29" t="str">
        <f aca="false">IF(CHỈ_SỐ_TRẮNG!$G$28="","",CHỈ_SỐ_TRẮNG!$G$28+HỆ_SỐ_PHẨM_CHẤT!$G$8)</f>
        <v/>
      </c>
      <c r="H118" s="29" t="str">
        <f aca="false">IF(CHỈ_SỐ_TRẮNG!$H$28="","",ROUND(CHỈ_SỐ_TRẮNG!$H$28*HỆ_SỐ_PHẨM_CHẤT!$F$8,1))</f>
        <v/>
      </c>
      <c r="I118" s="30" t="str">
        <f aca="false">IF(CHỈ_SỐ_TRẮNG!$I$28="","",CHỈ_SỐ_TRẮNG!$I$28+HỆ_SỐ_PHẨM_CHẤT!$H$8)</f>
        <v/>
      </c>
      <c r="J118" s="30" t="str">
        <f aca="false">IF(CHỈ_SỐ_TRẮNG!$J$28="","",CHỈ_SỐ_TRẮNG!$J$28+HỆ_SỐ_PHẨM_CHẤT!$I$8)</f>
        <v/>
      </c>
      <c r="K118" s="30" t="str">
        <f aca="false">IF(CHỈ_SỐ_TRẮNG!$K$28="","",CHỈ_SỐ_TRẮNG!$K$28+HỆ_SỐ_PHẨM_CHẤT!$J$8)</f>
        <v/>
      </c>
      <c r="L118" s="31" t="str">
        <f aca="false">IF(CHỈ_SỐ_TRẮNG!$L$28="","",CHỈ_SỐ_TRẮNG!$L$28+HỆ_SỐ_PHẨM_CHẤT!$K$8)</f>
        <v/>
      </c>
      <c r="M118" s="30" t="str">
        <f aca="false">IF(CHỈ_SỐ_TRẮNG!$M$28="","",CHỈ_SỐ_TRẮNG!$M$28+HỆ_SỐ_PHẨM_CHẤT!$L$8)</f>
        <v/>
      </c>
      <c r="N118" s="22" t="str">
        <f aca="false">IF(OR(N(I118)&gt;0.1,N(K118)&gt;0.1),"Né/chí mạng vượt 10%","")</f>
        <v/>
      </c>
    </row>
    <row r="119" customFormat="false" ht="15" hidden="false" customHeight="true" outlineLevel="0" collapsed="false">
      <c r="A119" s="22" t="str">
        <f aca="false">NHÂN_VẬT!$A$28</f>
        <v>NV24</v>
      </c>
      <c r="B119" s="22" t="str">
        <f aca="false">IF(NHÂN_VẬT!$B$28="","",NHÂN_VẬT!$B$28)</f>
        <v/>
      </c>
      <c r="C119" s="22" t="str">
        <f aca="false">HỆ_SỐ_PHẨM_CHẤT!$A$9</f>
        <v>Đỏ</v>
      </c>
      <c r="D119" s="28" t="str">
        <f aca="false">IF(CHỈ_SỐ_TRẮNG!$D$28="","",ROUND(CHỈ_SỐ_TRẮNG!$D$28*HỆ_SỐ_PHẨM_CHẤT!$C$9,0))</f>
        <v/>
      </c>
      <c r="E119" s="28" t="str">
        <f aca="false">IF(CHỈ_SỐ_TRẮNG!$E$28="","",ROUND(CHỈ_SỐ_TRẮNG!$E$28*HỆ_SỐ_PHẨM_CHẤT!$D$9,0))</f>
        <v/>
      </c>
      <c r="F119" s="28" t="str">
        <f aca="false">IF(CHỈ_SỐ_TRẮNG!$F$28="","",ROUND(CHỈ_SỐ_TRẮNG!$F$28*HỆ_SỐ_PHẨM_CHẤT!$E$9,0))</f>
        <v/>
      </c>
      <c r="G119" s="29" t="str">
        <f aca="false">IF(CHỈ_SỐ_TRẮNG!$G$28="","",CHỈ_SỐ_TRẮNG!$G$28+HỆ_SỐ_PHẨM_CHẤT!$G$9)</f>
        <v/>
      </c>
      <c r="H119" s="29" t="str">
        <f aca="false">IF(CHỈ_SỐ_TRẮNG!$H$28="","",ROUND(CHỈ_SỐ_TRẮNG!$H$28*HỆ_SỐ_PHẨM_CHẤT!$F$9,1))</f>
        <v/>
      </c>
      <c r="I119" s="30" t="str">
        <f aca="false">IF(CHỈ_SỐ_TRẮNG!$I$28="","",CHỈ_SỐ_TRẮNG!$I$28+HỆ_SỐ_PHẨM_CHẤT!$H$9)</f>
        <v/>
      </c>
      <c r="J119" s="30" t="str">
        <f aca="false">IF(CHỈ_SỐ_TRẮNG!$J$28="","",CHỈ_SỐ_TRẮNG!$J$28+HỆ_SỐ_PHẨM_CHẤT!$I$9)</f>
        <v/>
      </c>
      <c r="K119" s="30" t="str">
        <f aca="false">IF(CHỈ_SỐ_TRẮNG!$K$28="","",CHỈ_SỐ_TRẮNG!$K$28+HỆ_SỐ_PHẨM_CHẤT!$J$9)</f>
        <v/>
      </c>
      <c r="L119" s="31" t="str">
        <f aca="false">IF(CHỈ_SỐ_TRẮNG!$L$28="","",CHỈ_SỐ_TRẮNG!$L$28+HỆ_SỐ_PHẨM_CHẤT!$K$9)</f>
        <v/>
      </c>
      <c r="M119" s="30" t="str">
        <f aca="false">IF(CHỈ_SỐ_TRẮNG!$M$28="","",CHỈ_SỐ_TRẮNG!$M$28+HỆ_SỐ_PHẨM_CHẤT!$L$9)</f>
        <v/>
      </c>
      <c r="N119" s="22" t="str">
        <f aca="false">IF(OR(N(I119)&gt;0.1,N(K119)&gt;0.1),"Né/chí mạng vượt 10%","")</f>
        <v/>
      </c>
    </row>
    <row r="120" customFormat="false" ht="15" hidden="false" customHeight="true" outlineLevel="0" collapsed="false">
      <c r="A120" s="22" t="str">
        <f aca="false">NHÂN_VẬT!$A$29</f>
        <v>NV25</v>
      </c>
      <c r="B120" s="22" t="str">
        <f aca="false">IF(NHÂN_VẬT!$B$29="","",NHÂN_VẬT!$B$29)</f>
        <v/>
      </c>
      <c r="C120" s="22" t="str">
        <f aca="false">HỆ_SỐ_PHẨM_CHẤT!$A$5</f>
        <v>Trắng</v>
      </c>
      <c r="D120" s="28" t="str">
        <f aca="false">IF(CHỈ_SỐ_TRẮNG!$D$29="","",ROUND(CHỈ_SỐ_TRẮNG!$D$29*HỆ_SỐ_PHẨM_CHẤT!$C$5,0))</f>
        <v/>
      </c>
      <c r="E120" s="28" t="str">
        <f aca="false">IF(CHỈ_SỐ_TRẮNG!$E$29="","",ROUND(CHỈ_SỐ_TRẮNG!$E$29*HỆ_SỐ_PHẨM_CHẤT!$D$5,0))</f>
        <v/>
      </c>
      <c r="F120" s="28" t="str">
        <f aca="false">IF(CHỈ_SỐ_TRẮNG!$F$29="","",ROUND(CHỈ_SỐ_TRẮNG!$F$29*HỆ_SỐ_PHẨM_CHẤT!$E$5,0))</f>
        <v/>
      </c>
      <c r="G120" s="29" t="str">
        <f aca="false">IF(CHỈ_SỐ_TRẮNG!$G$29="","",CHỈ_SỐ_TRẮNG!$G$29+HỆ_SỐ_PHẨM_CHẤT!$G$5)</f>
        <v/>
      </c>
      <c r="H120" s="29" t="str">
        <f aca="false">IF(CHỈ_SỐ_TRẮNG!$H$29="","",ROUND(CHỈ_SỐ_TRẮNG!$H$29*HỆ_SỐ_PHẨM_CHẤT!$F$5,1))</f>
        <v/>
      </c>
      <c r="I120" s="30" t="str">
        <f aca="false">IF(CHỈ_SỐ_TRẮNG!$I$29="","",CHỈ_SỐ_TRẮNG!$I$29+HỆ_SỐ_PHẨM_CHẤT!$H$5)</f>
        <v/>
      </c>
      <c r="J120" s="30" t="str">
        <f aca="false">IF(CHỈ_SỐ_TRẮNG!$J$29="","",CHỈ_SỐ_TRẮNG!$J$29+HỆ_SỐ_PHẨM_CHẤT!$I$5)</f>
        <v/>
      </c>
      <c r="K120" s="30" t="str">
        <f aca="false">IF(CHỈ_SỐ_TRẮNG!$K$29="","",CHỈ_SỐ_TRẮNG!$K$29+HỆ_SỐ_PHẨM_CHẤT!$J$5)</f>
        <v/>
      </c>
      <c r="L120" s="31" t="str">
        <f aca="false">IF(CHỈ_SỐ_TRẮNG!$L$29="","",CHỈ_SỐ_TRẮNG!$L$29+HỆ_SỐ_PHẨM_CHẤT!$K$5)</f>
        <v/>
      </c>
      <c r="M120" s="30" t="str">
        <f aca="false">IF(CHỈ_SỐ_TRẮNG!$M$29="","",CHỈ_SỐ_TRẮNG!$M$29+HỆ_SỐ_PHẨM_CHẤT!$L$5)</f>
        <v/>
      </c>
      <c r="N120" s="22" t="str">
        <f aca="false">IF(OR(N(I120)&gt;0.1,N(K120)&gt;0.1),"Né/chí mạng vượt 10%","")</f>
        <v/>
      </c>
    </row>
    <row r="121" customFormat="false" ht="15" hidden="false" customHeight="true" outlineLevel="0" collapsed="false">
      <c r="A121" s="22" t="str">
        <f aca="false">NHÂN_VẬT!$A$29</f>
        <v>NV25</v>
      </c>
      <c r="B121" s="22" t="str">
        <f aca="false">IF(NHÂN_VẬT!$B$29="","",NHÂN_VẬT!$B$29)</f>
        <v/>
      </c>
      <c r="C121" s="22" t="str">
        <f aca="false">HỆ_SỐ_PHẨM_CHẤT!$A$6</f>
        <v>Xanh lá</v>
      </c>
      <c r="D121" s="28" t="str">
        <f aca="false">IF(CHỈ_SỐ_TRẮNG!$D$29="","",ROUND(CHỈ_SỐ_TRẮNG!$D$29*HỆ_SỐ_PHẨM_CHẤT!$C$6,0))</f>
        <v/>
      </c>
      <c r="E121" s="28" t="str">
        <f aca="false">IF(CHỈ_SỐ_TRẮNG!$E$29="","",ROUND(CHỈ_SỐ_TRẮNG!$E$29*HỆ_SỐ_PHẨM_CHẤT!$D$6,0))</f>
        <v/>
      </c>
      <c r="F121" s="28" t="str">
        <f aca="false">IF(CHỈ_SỐ_TRẮNG!$F$29="","",ROUND(CHỈ_SỐ_TRẮNG!$F$29*HỆ_SỐ_PHẨM_CHẤT!$E$6,0))</f>
        <v/>
      </c>
      <c r="G121" s="29" t="str">
        <f aca="false">IF(CHỈ_SỐ_TRẮNG!$G$29="","",CHỈ_SỐ_TRẮNG!$G$29+HỆ_SỐ_PHẨM_CHẤT!$G$6)</f>
        <v/>
      </c>
      <c r="H121" s="29" t="str">
        <f aca="false">IF(CHỈ_SỐ_TRẮNG!$H$29="","",ROUND(CHỈ_SỐ_TRẮNG!$H$29*HỆ_SỐ_PHẨM_CHẤT!$F$6,1))</f>
        <v/>
      </c>
      <c r="I121" s="30" t="str">
        <f aca="false">IF(CHỈ_SỐ_TRẮNG!$I$29="","",CHỈ_SỐ_TRẮNG!$I$29+HỆ_SỐ_PHẨM_CHẤT!$H$6)</f>
        <v/>
      </c>
      <c r="J121" s="30" t="str">
        <f aca="false">IF(CHỈ_SỐ_TRẮNG!$J$29="","",CHỈ_SỐ_TRẮNG!$J$29+HỆ_SỐ_PHẨM_CHẤT!$I$6)</f>
        <v/>
      </c>
      <c r="K121" s="30" t="str">
        <f aca="false">IF(CHỈ_SỐ_TRẮNG!$K$29="","",CHỈ_SỐ_TRẮNG!$K$29+HỆ_SỐ_PHẨM_CHẤT!$J$6)</f>
        <v/>
      </c>
      <c r="L121" s="31" t="str">
        <f aca="false">IF(CHỈ_SỐ_TRẮNG!$L$29="","",CHỈ_SỐ_TRẮNG!$L$29+HỆ_SỐ_PHẨM_CHẤT!$K$6)</f>
        <v/>
      </c>
      <c r="M121" s="30" t="str">
        <f aca="false">IF(CHỈ_SỐ_TRẮNG!$M$29="","",CHỈ_SỐ_TRẮNG!$M$29+HỆ_SỐ_PHẨM_CHẤT!$L$6)</f>
        <v/>
      </c>
      <c r="N121" s="22" t="str">
        <f aca="false">IF(OR(N(I121)&gt;0.1,N(K121)&gt;0.1),"Né/chí mạng vượt 10%","")</f>
        <v/>
      </c>
    </row>
    <row r="122" customFormat="false" ht="15" hidden="false" customHeight="true" outlineLevel="0" collapsed="false">
      <c r="A122" s="22" t="str">
        <f aca="false">NHÂN_VẬT!$A$29</f>
        <v>NV25</v>
      </c>
      <c r="B122" s="22" t="str">
        <f aca="false">IF(NHÂN_VẬT!$B$29="","",NHÂN_VẬT!$B$29)</f>
        <v/>
      </c>
      <c r="C122" s="22" t="str">
        <f aca="false">HỆ_SỐ_PHẨM_CHẤT!$A$7</f>
        <v>Xanh dương</v>
      </c>
      <c r="D122" s="28" t="str">
        <f aca="false">IF(CHỈ_SỐ_TRẮNG!$D$29="","",ROUND(CHỈ_SỐ_TRẮNG!$D$29*HỆ_SỐ_PHẨM_CHẤT!$C$7,0))</f>
        <v/>
      </c>
      <c r="E122" s="28" t="str">
        <f aca="false">IF(CHỈ_SỐ_TRẮNG!$E$29="","",ROUND(CHỈ_SỐ_TRẮNG!$E$29*HỆ_SỐ_PHẨM_CHẤT!$D$7,0))</f>
        <v/>
      </c>
      <c r="F122" s="28" t="str">
        <f aca="false">IF(CHỈ_SỐ_TRẮNG!$F$29="","",ROUND(CHỈ_SỐ_TRẮNG!$F$29*HỆ_SỐ_PHẨM_CHẤT!$E$7,0))</f>
        <v/>
      </c>
      <c r="G122" s="29" t="str">
        <f aca="false">IF(CHỈ_SỐ_TRẮNG!$G$29="","",CHỈ_SỐ_TRẮNG!$G$29+HỆ_SỐ_PHẨM_CHẤT!$G$7)</f>
        <v/>
      </c>
      <c r="H122" s="29" t="str">
        <f aca="false">IF(CHỈ_SỐ_TRẮNG!$H$29="","",ROUND(CHỈ_SỐ_TRẮNG!$H$29*HỆ_SỐ_PHẨM_CHẤT!$F$7,1))</f>
        <v/>
      </c>
      <c r="I122" s="30" t="str">
        <f aca="false">IF(CHỈ_SỐ_TRẮNG!$I$29="","",CHỈ_SỐ_TRẮNG!$I$29+HỆ_SỐ_PHẨM_CHẤT!$H$7)</f>
        <v/>
      </c>
      <c r="J122" s="30" t="str">
        <f aca="false">IF(CHỈ_SỐ_TRẮNG!$J$29="","",CHỈ_SỐ_TRẮNG!$J$29+HỆ_SỐ_PHẨM_CHẤT!$I$7)</f>
        <v/>
      </c>
      <c r="K122" s="30" t="str">
        <f aca="false">IF(CHỈ_SỐ_TRẮNG!$K$29="","",CHỈ_SỐ_TRẮNG!$K$29+HỆ_SỐ_PHẨM_CHẤT!$J$7)</f>
        <v/>
      </c>
      <c r="L122" s="31" t="str">
        <f aca="false">IF(CHỈ_SỐ_TRẮNG!$L$29="","",CHỈ_SỐ_TRẮNG!$L$29+HỆ_SỐ_PHẨM_CHẤT!$K$7)</f>
        <v/>
      </c>
      <c r="M122" s="30" t="str">
        <f aca="false">IF(CHỈ_SỐ_TRẮNG!$M$29="","",CHỈ_SỐ_TRẮNG!$M$29+HỆ_SỐ_PHẨM_CHẤT!$L$7)</f>
        <v/>
      </c>
      <c r="N122" s="22" t="str">
        <f aca="false">IF(OR(N(I122)&gt;0.1,N(K122)&gt;0.1),"Né/chí mạng vượt 10%","")</f>
        <v/>
      </c>
    </row>
    <row r="123" customFormat="false" ht="15" hidden="false" customHeight="true" outlineLevel="0" collapsed="false">
      <c r="A123" s="22" t="str">
        <f aca="false">NHÂN_VẬT!$A$29</f>
        <v>NV25</v>
      </c>
      <c r="B123" s="22" t="str">
        <f aca="false">IF(NHÂN_VẬT!$B$29="","",NHÂN_VẬT!$B$29)</f>
        <v/>
      </c>
      <c r="C123" s="22" t="str">
        <f aca="false">HỆ_SỐ_PHẨM_CHẤT!$A$8</f>
        <v>Tím</v>
      </c>
      <c r="D123" s="28" t="str">
        <f aca="false">IF(CHỈ_SỐ_TRẮNG!$D$29="","",ROUND(CHỈ_SỐ_TRẮNG!$D$29*HỆ_SỐ_PHẨM_CHẤT!$C$8,0))</f>
        <v/>
      </c>
      <c r="E123" s="28" t="str">
        <f aca="false">IF(CHỈ_SỐ_TRẮNG!$E$29="","",ROUND(CHỈ_SỐ_TRẮNG!$E$29*HỆ_SỐ_PHẨM_CHẤT!$D$8,0))</f>
        <v/>
      </c>
      <c r="F123" s="28" t="str">
        <f aca="false">IF(CHỈ_SỐ_TRẮNG!$F$29="","",ROUND(CHỈ_SỐ_TRẮNG!$F$29*HỆ_SỐ_PHẨM_CHẤT!$E$8,0))</f>
        <v/>
      </c>
      <c r="G123" s="29" t="str">
        <f aca="false">IF(CHỈ_SỐ_TRẮNG!$G$29="","",CHỈ_SỐ_TRẮNG!$G$29+HỆ_SỐ_PHẨM_CHẤT!$G$8)</f>
        <v/>
      </c>
      <c r="H123" s="29" t="str">
        <f aca="false">IF(CHỈ_SỐ_TRẮNG!$H$29="","",ROUND(CHỈ_SỐ_TRẮNG!$H$29*HỆ_SỐ_PHẨM_CHẤT!$F$8,1))</f>
        <v/>
      </c>
      <c r="I123" s="30" t="str">
        <f aca="false">IF(CHỈ_SỐ_TRẮNG!$I$29="","",CHỈ_SỐ_TRẮNG!$I$29+HỆ_SỐ_PHẨM_CHẤT!$H$8)</f>
        <v/>
      </c>
      <c r="J123" s="30" t="str">
        <f aca="false">IF(CHỈ_SỐ_TRẮNG!$J$29="","",CHỈ_SỐ_TRẮNG!$J$29+HỆ_SỐ_PHẨM_CHẤT!$I$8)</f>
        <v/>
      </c>
      <c r="K123" s="30" t="str">
        <f aca="false">IF(CHỈ_SỐ_TRẮNG!$K$29="","",CHỈ_SỐ_TRẮNG!$K$29+HỆ_SỐ_PHẨM_CHẤT!$J$8)</f>
        <v/>
      </c>
      <c r="L123" s="31" t="str">
        <f aca="false">IF(CHỈ_SỐ_TRẮNG!$L$29="","",CHỈ_SỐ_TRẮNG!$L$29+HỆ_SỐ_PHẨM_CHẤT!$K$8)</f>
        <v/>
      </c>
      <c r="M123" s="30" t="str">
        <f aca="false">IF(CHỈ_SỐ_TRẮNG!$M$29="","",CHỈ_SỐ_TRẮNG!$M$29+HỆ_SỐ_PHẨM_CHẤT!$L$8)</f>
        <v/>
      </c>
      <c r="N123" s="22" t="str">
        <f aca="false">IF(OR(N(I123)&gt;0.1,N(K123)&gt;0.1),"Né/chí mạng vượt 10%","")</f>
        <v/>
      </c>
    </row>
    <row r="124" customFormat="false" ht="15" hidden="false" customHeight="true" outlineLevel="0" collapsed="false">
      <c r="A124" s="22" t="str">
        <f aca="false">NHÂN_VẬT!$A$29</f>
        <v>NV25</v>
      </c>
      <c r="B124" s="22" t="str">
        <f aca="false">IF(NHÂN_VẬT!$B$29="","",NHÂN_VẬT!$B$29)</f>
        <v/>
      </c>
      <c r="C124" s="22" t="str">
        <f aca="false">HỆ_SỐ_PHẨM_CHẤT!$A$9</f>
        <v>Đỏ</v>
      </c>
      <c r="D124" s="28" t="str">
        <f aca="false">IF(CHỈ_SỐ_TRẮNG!$D$29="","",ROUND(CHỈ_SỐ_TRẮNG!$D$29*HỆ_SỐ_PHẨM_CHẤT!$C$9,0))</f>
        <v/>
      </c>
      <c r="E124" s="28" t="str">
        <f aca="false">IF(CHỈ_SỐ_TRẮNG!$E$29="","",ROUND(CHỈ_SỐ_TRẮNG!$E$29*HỆ_SỐ_PHẨM_CHẤT!$D$9,0))</f>
        <v/>
      </c>
      <c r="F124" s="28" t="str">
        <f aca="false">IF(CHỈ_SỐ_TRẮNG!$F$29="","",ROUND(CHỈ_SỐ_TRẮNG!$F$29*HỆ_SỐ_PHẨM_CHẤT!$E$9,0))</f>
        <v/>
      </c>
      <c r="G124" s="29" t="str">
        <f aca="false">IF(CHỈ_SỐ_TRẮNG!$G$29="","",CHỈ_SỐ_TRẮNG!$G$29+HỆ_SỐ_PHẨM_CHẤT!$G$9)</f>
        <v/>
      </c>
      <c r="H124" s="29" t="str">
        <f aca="false">IF(CHỈ_SỐ_TRẮNG!$H$29="","",ROUND(CHỈ_SỐ_TRẮNG!$H$29*HỆ_SỐ_PHẨM_CHẤT!$F$9,1))</f>
        <v/>
      </c>
      <c r="I124" s="30" t="str">
        <f aca="false">IF(CHỈ_SỐ_TRẮNG!$I$29="","",CHỈ_SỐ_TRẮNG!$I$29+HỆ_SỐ_PHẨM_CHẤT!$H$9)</f>
        <v/>
      </c>
      <c r="J124" s="30" t="str">
        <f aca="false">IF(CHỈ_SỐ_TRẮNG!$J$29="","",CHỈ_SỐ_TRẮNG!$J$29+HỆ_SỐ_PHẨM_CHẤT!$I$9)</f>
        <v/>
      </c>
      <c r="K124" s="30" t="str">
        <f aca="false">IF(CHỈ_SỐ_TRẮNG!$K$29="","",CHỈ_SỐ_TRẮNG!$K$29+HỆ_SỐ_PHẨM_CHẤT!$J$9)</f>
        <v/>
      </c>
      <c r="L124" s="31" t="str">
        <f aca="false">IF(CHỈ_SỐ_TRẮNG!$L$29="","",CHỈ_SỐ_TRẮNG!$L$29+HỆ_SỐ_PHẨM_CHẤT!$K$9)</f>
        <v/>
      </c>
      <c r="M124" s="30" t="str">
        <f aca="false">IF(CHỈ_SỐ_TRẮNG!$M$29="","",CHỈ_SỐ_TRẮNG!$M$29+HỆ_SỐ_PHẨM_CHẤT!$L$9)</f>
        <v/>
      </c>
      <c r="N124" s="22" t="str">
        <f aca="false">IF(OR(N(I124)&gt;0.1,N(K124)&gt;0.1),"Né/chí mạng vượt 10%","")</f>
        <v/>
      </c>
    </row>
    <row r="125" customFormat="false" ht="15" hidden="false" customHeight="true" outlineLevel="0" collapsed="false">
      <c r="A125" s="22" t="str">
        <f aca="false">NHÂN_VẬT!$A$30</f>
        <v>NV26</v>
      </c>
      <c r="B125" s="22" t="str">
        <f aca="false">IF(NHÂN_VẬT!$B$30="","",NHÂN_VẬT!$B$30)</f>
        <v/>
      </c>
      <c r="C125" s="22" t="str">
        <f aca="false">HỆ_SỐ_PHẨM_CHẤT!$A$5</f>
        <v>Trắng</v>
      </c>
      <c r="D125" s="28" t="str">
        <f aca="false">IF(CHỈ_SỐ_TRẮNG!$D$30="","",ROUND(CHỈ_SỐ_TRẮNG!$D$30*HỆ_SỐ_PHẨM_CHẤT!$C$5,0))</f>
        <v/>
      </c>
      <c r="E125" s="28" t="str">
        <f aca="false">IF(CHỈ_SỐ_TRẮNG!$E$30="","",ROUND(CHỈ_SỐ_TRẮNG!$E$30*HỆ_SỐ_PHẨM_CHẤT!$D$5,0))</f>
        <v/>
      </c>
      <c r="F125" s="28" t="str">
        <f aca="false">IF(CHỈ_SỐ_TRẮNG!$F$30="","",ROUND(CHỈ_SỐ_TRẮNG!$F$30*HỆ_SỐ_PHẨM_CHẤT!$E$5,0))</f>
        <v/>
      </c>
      <c r="G125" s="29" t="str">
        <f aca="false">IF(CHỈ_SỐ_TRẮNG!$G$30="","",CHỈ_SỐ_TRẮNG!$G$30+HỆ_SỐ_PHẨM_CHẤT!$G$5)</f>
        <v/>
      </c>
      <c r="H125" s="29" t="str">
        <f aca="false">IF(CHỈ_SỐ_TRẮNG!$H$30="","",ROUND(CHỈ_SỐ_TRẮNG!$H$30*HỆ_SỐ_PHẨM_CHẤT!$F$5,1))</f>
        <v/>
      </c>
      <c r="I125" s="30" t="str">
        <f aca="false">IF(CHỈ_SỐ_TRẮNG!$I$30="","",CHỈ_SỐ_TRẮNG!$I$30+HỆ_SỐ_PHẨM_CHẤT!$H$5)</f>
        <v/>
      </c>
      <c r="J125" s="30" t="str">
        <f aca="false">IF(CHỈ_SỐ_TRẮNG!$J$30="","",CHỈ_SỐ_TRẮNG!$J$30+HỆ_SỐ_PHẨM_CHẤT!$I$5)</f>
        <v/>
      </c>
      <c r="K125" s="30" t="str">
        <f aca="false">IF(CHỈ_SỐ_TRẮNG!$K$30="","",CHỈ_SỐ_TRẮNG!$K$30+HỆ_SỐ_PHẨM_CHẤT!$J$5)</f>
        <v/>
      </c>
      <c r="L125" s="31" t="str">
        <f aca="false">IF(CHỈ_SỐ_TRẮNG!$L$30="","",CHỈ_SỐ_TRẮNG!$L$30+HỆ_SỐ_PHẨM_CHẤT!$K$5)</f>
        <v/>
      </c>
      <c r="M125" s="30" t="str">
        <f aca="false">IF(CHỈ_SỐ_TRẮNG!$M$30="","",CHỈ_SỐ_TRẮNG!$M$30+HỆ_SỐ_PHẨM_CHẤT!$L$5)</f>
        <v/>
      </c>
      <c r="N125" s="22" t="str">
        <f aca="false">IF(OR(N(I125)&gt;0.1,N(K125)&gt;0.1),"Né/chí mạng vượt 10%","")</f>
        <v/>
      </c>
    </row>
    <row r="126" customFormat="false" ht="15" hidden="false" customHeight="true" outlineLevel="0" collapsed="false">
      <c r="A126" s="22" t="str">
        <f aca="false">NHÂN_VẬT!$A$30</f>
        <v>NV26</v>
      </c>
      <c r="B126" s="22" t="str">
        <f aca="false">IF(NHÂN_VẬT!$B$30="","",NHÂN_VẬT!$B$30)</f>
        <v/>
      </c>
      <c r="C126" s="22" t="str">
        <f aca="false">HỆ_SỐ_PHẨM_CHẤT!$A$6</f>
        <v>Xanh lá</v>
      </c>
      <c r="D126" s="28" t="str">
        <f aca="false">IF(CHỈ_SỐ_TRẮNG!$D$30="","",ROUND(CHỈ_SỐ_TRẮNG!$D$30*HỆ_SỐ_PHẨM_CHẤT!$C$6,0))</f>
        <v/>
      </c>
      <c r="E126" s="28" t="str">
        <f aca="false">IF(CHỈ_SỐ_TRẮNG!$E$30="","",ROUND(CHỈ_SỐ_TRẮNG!$E$30*HỆ_SỐ_PHẨM_CHẤT!$D$6,0))</f>
        <v/>
      </c>
      <c r="F126" s="28" t="str">
        <f aca="false">IF(CHỈ_SỐ_TRẮNG!$F$30="","",ROUND(CHỈ_SỐ_TRẮNG!$F$30*HỆ_SỐ_PHẨM_CHẤT!$E$6,0))</f>
        <v/>
      </c>
      <c r="G126" s="29" t="str">
        <f aca="false">IF(CHỈ_SỐ_TRẮNG!$G$30="","",CHỈ_SỐ_TRẮNG!$G$30+HỆ_SỐ_PHẨM_CHẤT!$G$6)</f>
        <v/>
      </c>
      <c r="H126" s="29" t="str">
        <f aca="false">IF(CHỈ_SỐ_TRẮNG!$H$30="","",ROUND(CHỈ_SỐ_TRẮNG!$H$30*HỆ_SỐ_PHẨM_CHẤT!$F$6,1))</f>
        <v/>
      </c>
      <c r="I126" s="30" t="str">
        <f aca="false">IF(CHỈ_SỐ_TRẮNG!$I$30="","",CHỈ_SỐ_TRẮNG!$I$30+HỆ_SỐ_PHẨM_CHẤT!$H$6)</f>
        <v/>
      </c>
      <c r="J126" s="30" t="str">
        <f aca="false">IF(CHỈ_SỐ_TRẮNG!$J$30="","",CHỈ_SỐ_TRẮNG!$J$30+HỆ_SỐ_PHẨM_CHẤT!$I$6)</f>
        <v/>
      </c>
      <c r="K126" s="30" t="str">
        <f aca="false">IF(CHỈ_SỐ_TRẮNG!$K$30="","",CHỈ_SỐ_TRẮNG!$K$30+HỆ_SỐ_PHẨM_CHẤT!$J$6)</f>
        <v/>
      </c>
      <c r="L126" s="31" t="str">
        <f aca="false">IF(CHỈ_SỐ_TRẮNG!$L$30="","",CHỈ_SỐ_TRẮNG!$L$30+HỆ_SỐ_PHẨM_CHẤT!$K$6)</f>
        <v/>
      </c>
      <c r="M126" s="30" t="str">
        <f aca="false">IF(CHỈ_SỐ_TRẮNG!$M$30="","",CHỈ_SỐ_TRẮNG!$M$30+HỆ_SỐ_PHẨM_CHẤT!$L$6)</f>
        <v/>
      </c>
      <c r="N126" s="22" t="str">
        <f aca="false">IF(OR(N(I126)&gt;0.1,N(K126)&gt;0.1),"Né/chí mạng vượt 10%","")</f>
        <v/>
      </c>
    </row>
    <row r="127" customFormat="false" ht="15" hidden="false" customHeight="true" outlineLevel="0" collapsed="false">
      <c r="A127" s="22" t="str">
        <f aca="false">NHÂN_VẬT!$A$30</f>
        <v>NV26</v>
      </c>
      <c r="B127" s="22" t="str">
        <f aca="false">IF(NHÂN_VẬT!$B$30="","",NHÂN_VẬT!$B$30)</f>
        <v/>
      </c>
      <c r="C127" s="22" t="str">
        <f aca="false">HỆ_SỐ_PHẨM_CHẤT!$A$7</f>
        <v>Xanh dương</v>
      </c>
      <c r="D127" s="28" t="str">
        <f aca="false">IF(CHỈ_SỐ_TRẮNG!$D$30="","",ROUND(CHỈ_SỐ_TRẮNG!$D$30*HỆ_SỐ_PHẨM_CHẤT!$C$7,0))</f>
        <v/>
      </c>
      <c r="E127" s="28" t="str">
        <f aca="false">IF(CHỈ_SỐ_TRẮNG!$E$30="","",ROUND(CHỈ_SỐ_TRẮNG!$E$30*HỆ_SỐ_PHẨM_CHẤT!$D$7,0))</f>
        <v/>
      </c>
      <c r="F127" s="28" t="str">
        <f aca="false">IF(CHỈ_SỐ_TRẮNG!$F$30="","",ROUND(CHỈ_SỐ_TRẮNG!$F$30*HỆ_SỐ_PHẨM_CHẤT!$E$7,0))</f>
        <v/>
      </c>
      <c r="G127" s="29" t="str">
        <f aca="false">IF(CHỈ_SỐ_TRẮNG!$G$30="","",CHỈ_SỐ_TRẮNG!$G$30+HỆ_SỐ_PHẨM_CHẤT!$G$7)</f>
        <v/>
      </c>
      <c r="H127" s="29" t="str">
        <f aca="false">IF(CHỈ_SỐ_TRẮNG!$H$30="","",ROUND(CHỈ_SỐ_TRẮNG!$H$30*HỆ_SỐ_PHẨM_CHẤT!$F$7,1))</f>
        <v/>
      </c>
      <c r="I127" s="30" t="str">
        <f aca="false">IF(CHỈ_SỐ_TRẮNG!$I$30="","",CHỈ_SỐ_TRẮNG!$I$30+HỆ_SỐ_PHẨM_CHẤT!$H$7)</f>
        <v/>
      </c>
      <c r="J127" s="30" t="str">
        <f aca="false">IF(CHỈ_SỐ_TRẮNG!$J$30="","",CHỈ_SỐ_TRẮNG!$J$30+HỆ_SỐ_PHẨM_CHẤT!$I$7)</f>
        <v/>
      </c>
      <c r="K127" s="30" t="str">
        <f aca="false">IF(CHỈ_SỐ_TRẮNG!$K$30="","",CHỈ_SỐ_TRẮNG!$K$30+HỆ_SỐ_PHẨM_CHẤT!$J$7)</f>
        <v/>
      </c>
      <c r="L127" s="31" t="str">
        <f aca="false">IF(CHỈ_SỐ_TRẮNG!$L$30="","",CHỈ_SỐ_TRẮNG!$L$30+HỆ_SỐ_PHẨM_CHẤT!$K$7)</f>
        <v/>
      </c>
      <c r="M127" s="30" t="str">
        <f aca="false">IF(CHỈ_SỐ_TRẮNG!$M$30="","",CHỈ_SỐ_TRẮNG!$M$30+HỆ_SỐ_PHẨM_CHẤT!$L$7)</f>
        <v/>
      </c>
      <c r="N127" s="22" t="str">
        <f aca="false">IF(OR(N(I127)&gt;0.1,N(K127)&gt;0.1),"Né/chí mạng vượt 10%","")</f>
        <v/>
      </c>
    </row>
    <row r="128" customFormat="false" ht="15" hidden="false" customHeight="true" outlineLevel="0" collapsed="false">
      <c r="A128" s="22" t="str">
        <f aca="false">NHÂN_VẬT!$A$30</f>
        <v>NV26</v>
      </c>
      <c r="B128" s="22" t="str">
        <f aca="false">IF(NHÂN_VẬT!$B$30="","",NHÂN_VẬT!$B$30)</f>
        <v/>
      </c>
      <c r="C128" s="22" t="str">
        <f aca="false">HỆ_SỐ_PHẨM_CHẤT!$A$8</f>
        <v>Tím</v>
      </c>
      <c r="D128" s="28" t="str">
        <f aca="false">IF(CHỈ_SỐ_TRẮNG!$D$30="","",ROUND(CHỈ_SỐ_TRẮNG!$D$30*HỆ_SỐ_PHẨM_CHẤT!$C$8,0))</f>
        <v/>
      </c>
      <c r="E128" s="28" t="str">
        <f aca="false">IF(CHỈ_SỐ_TRẮNG!$E$30="","",ROUND(CHỈ_SỐ_TRẮNG!$E$30*HỆ_SỐ_PHẨM_CHẤT!$D$8,0))</f>
        <v/>
      </c>
      <c r="F128" s="28" t="str">
        <f aca="false">IF(CHỈ_SỐ_TRẮNG!$F$30="","",ROUND(CHỈ_SỐ_TRẮNG!$F$30*HỆ_SỐ_PHẨM_CHẤT!$E$8,0))</f>
        <v/>
      </c>
      <c r="G128" s="29" t="str">
        <f aca="false">IF(CHỈ_SỐ_TRẮNG!$G$30="","",CHỈ_SỐ_TRẮNG!$G$30+HỆ_SỐ_PHẨM_CHẤT!$G$8)</f>
        <v/>
      </c>
      <c r="H128" s="29" t="str">
        <f aca="false">IF(CHỈ_SỐ_TRẮNG!$H$30="","",ROUND(CHỈ_SỐ_TRẮNG!$H$30*HỆ_SỐ_PHẨM_CHẤT!$F$8,1))</f>
        <v/>
      </c>
      <c r="I128" s="30" t="str">
        <f aca="false">IF(CHỈ_SỐ_TRẮNG!$I$30="","",CHỈ_SỐ_TRẮNG!$I$30+HỆ_SỐ_PHẨM_CHẤT!$H$8)</f>
        <v/>
      </c>
      <c r="J128" s="30" t="str">
        <f aca="false">IF(CHỈ_SỐ_TRẮNG!$J$30="","",CHỈ_SỐ_TRẮNG!$J$30+HỆ_SỐ_PHẨM_CHẤT!$I$8)</f>
        <v/>
      </c>
      <c r="K128" s="30" t="str">
        <f aca="false">IF(CHỈ_SỐ_TRẮNG!$K$30="","",CHỈ_SỐ_TRẮNG!$K$30+HỆ_SỐ_PHẨM_CHẤT!$J$8)</f>
        <v/>
      </c>
      <c r="L128" s="31" t="str">
        <f aca="false">IF(CHỈ_SỐ_TRẮNG!$L$30="","",CHỈ_SỐ_TRẮNG!$L$30+HỆ_SỐ_PHẨM_CHẤT!$K$8)</f>
        <v/>
      </c>
      <c r="M128" s="30" t="str">
        <f aca="false">IF(CHỈ_SỐ_TRẮNG!$M$30="","",CHỈ_SỐ_TRẮNG!$M$30+HỆ_SỐ_PHẨM_CHẤT!$L$8)</f>
        <v/>
      </c>
      <c r="N128" s="22" t="str">
        <f aca="false">IF(OR(N(I128)&gt;0.1,N(K128)&gt;0.1),"Né/chí mạng vượt 10%","")</f>
        <v/>
      </c>
    </row>
    <row r="129" customFormat="false" ht="15" hidden="false" customHeight="true" outlineLevel="0" collapsed="false">
      <c r="A129" s="22" t="str">
        <f aca="false">NHÂN_VẬT!$A$30</f>
        <v>NV26</v>
      </c>
      <c r="B129" s="22" t="str">
        <f aca="false">IF(NHÂN_VẬT!$B$30="","",NHÂN_VẬT!$B$30)</f>
        <v/>
      </c>
      <c r="C129" s="22" t="str">
        <f aca="false">HỆ_SỐ_PHẨM_CHẤT!$A$9</f>
        <v>Đỏ</v>
      </c>
      <c r="D129" s="28" t="str">
        <f aca="false">IF(CHỈ_SỐ_TRẮNG!$D$30="","",ROUND(CHỈ_SỐ_TRẮNG!$D$30*HỆ_SỐ_PHẨM_CHẤT!$C$9,0))</f>
        <v/>
      </c>
      <c r="E129" s="28" t="str">
        <f aca="false">IF(CHỈ_SỐ_TRẮNG!$E$30="","",ROUND(CHỈ_SỐ_TRẮNG!$E$30*HỆ_SỐ_PHẨM_CHẤT!$D$9,0))</f>
        <v/>
      </c>
      <c r="F129" s="28" t="str">
        <f aca="false">IF(CHỈ_SỐ_TRẮNG!$F$30="","",ROUND(CHỈ_SỐ_TRẮNG!$F$30*HỆ_SỐ_PHẨM_CHẤT!$E$9,0))</f>
        <v/>
      </c>
      <c r="G129" s="29" t="str">
        <f aca="false">IF(CHỈ_SỐ_TRẮNG!$G$30="","",CHỈ_SỐ_TRẮNG!$G$30+HỆ_SỐ_PHẨM_CHẤT!$G$9)</f>
        <v/>
      </c>
      <c r="H129" s="29" t="str">
        <f aca="false">IF(CHỈ_SỐ_TRẮNG!$H$30="","",ROUND(CHỈ_SỐ_TRẮNG!$H$30*HỆ_SỐ_PHẨM_CHẤT!$F$9,1))</f>
        <v/>
      </c>
      <c r="I129" s="30" t="str">
        <f aca="false">IF(CHỈ_SỐ_TRẮNG!$I$30="","",CHỈ_SỐ_TRẮNG!$I$30+HỆ_SỐ_PHẨM_CHẤT!$H$9)</f>
        <v/>
      </c>
      <c r="J129" s="30" t="str">
        <f aca="false">IF(CHỈ_SỐ_TRẮNG!$J$30="","",CHỈ_SỐ_TRẮNG!$J$30+HỆ_SỐ_PHẨM_CHẤT!$I$9)</f>
        <v/>
      </c>
      <c r="K129" s="30" t="str">
        <f aca="false">IF(CHỈ_SỐ_TRẮNG!$K$30="","",CHỈ_SỐ_TRẮNG!$K$30+HỆ_SỐ_PHẨM_CHẤT!$J$9)</f>
        <v/>
      </c>
      <c r="L129" s="31" t="str">
        <f aca="false">IF(CHỈ_SỐ_TRẮNG!$L$30="","",CHỈ_SỐ_TRẮNG!$L$30+HỆ_SỐ_PHẨM_CHẤT!$K$9)</f>
        <v/>
      </c>
      <c r="M129" s="30" t="str">
        <f aca="false">IF(CHỈ_SỐ_TRẮNG!$M$30="","",CHỈ_SỐ_TRẮNG!$M$30+HỆ_SỐ_PHẨM_CHẤT!$L$9)</f>
        <v/>
      </c>
      <c r="N129" s="22" t="str">
        <f aca="false">IF(OR(N(I129)&gt;0.1,N(K129)&gt;0.1),"Né/chí mạng vượt 10%","")</f>
        <v/>
      </c>
    </row>
    <row r="130" customFormat="false" ht="15" hidden="false" customHeight="true" outlineLevel="0" collapsed="false">
      <c r="A130" s="22" t="str">
        <f aca="false">NHÂN_VẬT!$A$31</f>
        <v>NV27</v>
      </c>
      <c r="B130" s="22" t="str">
        <f aca="false">IF(NHÂN_VẬT!$B$31="","",NHÂN_VẬT!$B$31)</f>
        <v/>
      </c>
      <c r="C130" s="22" t="str">
        <f aca="false">HỆ_SỐ_PHẨM_CHẤT!$A$5</f>
        <v>Trắng</v>
      </c>
      <c r="D130" s="28" t="str">
        <f aca="false">IF(CHỈ_SỐ_TRẮNG!$D$31="","",ROUND(CHỈ_SỐ_TRẮNG!$D$31*HỆ_SỐ_PHẨM_CHẤT!$C$5,0))</f>
        <v/>
      </c>
      <c r="E130" s="28" t="str">
        <f aca="false">IF(CHỈ_SỐ_TRẮNG!$E$31="","",ROUND(CHỈ_SỐ_TRẮNG!$E$31*HỆ_SỐ_PHẨM_CHẤT!$D$5,0))</f>
        <v/>
      </c>
      <c r="F130" s="28" t="str">
        <f aca="false">IF(CHỈ_SỐ_TRẮNG!$F$31="","",ROUND(CHỈ_SỐ_TRẮNG!$F$31*HỆ_SỐ_PHẨM_CHẤT!$E$5,0))</f>
        <v/>
      </c>
      <c r="G130" s="29" t="str">
        <f aca="false">IF(CHỈ_SỐ_TRẮNG!$G$31="","",CHỈ_SỐ_TRẮNG!$G$31+HỆ_SỐ_PHẨM_CHẤT!$G$5)</f>
        <v/>
      </c>
      <c r="H130" s="29" t="str">
        <f aca="false">IF(CHỈ_SỐ_TRẮNG!$H$31="","",ROUND(CHỈ_SỐ_TRẮNG!$H$31*HỆ_SỐ_PHẨM_CHẤT!$F$5,1))</f>
        <v/>
      </c>
      <c r="I130" s="30" t="str">
        <f aca="false">IF(CHỈ_SỐ_TRẮNG!$I$31="","",CHỈ_SỐ_TRẮNG!$I$31+HỆ_SỐ_PHẨM_CHẤT!$H$5)</f>
        <v/>
      </c>
      <c r="J130" s="30" t="str">
        <f aca="false">IF(CHỈ_SỐ_TRẮNG!$J$31="","",CHỈ_SỐ_TRẮNG!$J$31+HỆ_SỐ_PHẨM_CHẤT!$I$5)</f>
        <v/>
      </c>
      <c r="K130" s="30" t="str">
        <f aca="false">IF(CHỈ_SỐ_TRẮNG!$K$31="","",CHỈ_SỐ_TRẮNG!$K$31+HỆ_SỐ_PHẨM_CHẤT!$J$5)</f>
        <v/>
      </c>
      <c r="L130" s="31" t="str">
        <f aca="false">IF(CHỈ_SỐ_TRẮNG!$L$31="","",CHỈ_SỐ_TRẮNG!$L$31+HỆ_SỐ_PHẨM_CHẤT!$K$5)</f>
        <v/>
      </c>
      <c r="M130" s="30" t="str">
        <f aca="false">IF(CHỈ_SỐ_TRẮNG!$M$31="","",CHỈ_SỐ_TRẮNG!$M$31+HỆ_SỐ_PHẨM_CHẤT!$L$5)</f>
        <v/>
      </c>
      <c r="N130" s="22" t="str">
        <f aca="false">IF(OR(N(I130)&gt;0.1,N(K130)&gt;0.1),"Né/chí mạng vượt 10%","")</f>
        <v/>
      </c>
    </row>
    <row r="131" customFormat="false" ht="15" hidden="false" customHeight="true" outlineLevel="0" collapsed="false">
      <c r="A131" s="22" t="str">
        <f aca="false">NHÂN_VẬT!$A$31</f>
        <v>NV27</v>
      </c>
      <c r="B131" s="22" t="str">
        <f aca="false">IF(NHÂN_VẬT!$B$31="","",NHÂN_VẬT!$B$31)</f>
        <v/>
      </c>
      <c r="C131" s="22" t="str">
        <f aca="false">HỆ_SỐ_PHẨM_CHẤT!$A$6</f>
        <v>Xanh lá</v>
      </c>
      <c r="D131" s="28" t="str">
        <f aca="false">IF(CHỈ_SỐ_TRẮNG!$D$31="","",ROUND(CHỈ_SỐ_TRẮNG!$D$31*HỆ_SỐ_PHẨM_CHẤT!$C$6,0))</f>
        <v/>
      </c>
      <c r="E131" s="28" t="str">
        <f aca="false">IF(CHỈ_SỐ_TRẮNG!$E$31="","",ROUND(CHỈ_SỐ_TRẮNG!$E$31*HỆ_SỐ_PHẨM_CHẤT!$D$6,0))</f>
        <v/>
      </c>
      <c r="F131" s="28" t="str">
        <f aca="false">IF(CHỈ_SỐ_TRẮNG!$F$31="","",ROUND(CHỈ_SỐ_TRẮNG!$F$31*HỆ_SỐ_PHẨM_CHẤT!$E$6,0))</f>
        <v/>
      </c>
      <c r="G131" s="29" t="str">
        <f aca="false">IF(CHỈ_SỐ_TRẮNG!$G$31="","",CHỈ_SỐ_TRẮNG!$G$31+HỆ_SỐ_PHẨM_CHẤT!$G$6)</f>
        <v/>
      </c>
      <c r="H131" s="29" t="str">
        <f aca="false">IF(CHỈ_SỐ_TRẮNG!$H$31="","",ROUND(CHỈ_SỐ_TRẮNG!$H$31*HỆ_SỐ_PHẨM_CHẤT!$F$6,1))</f>
        <v/>
      </c>
      <c r="I131" s="30" t="str">
        <f aca="false">IF(CHỈ_SỐ_TRẮNG!$I$31="","",CHỈ_SỐ_TRẮNG!$I$31+HỆ_SỐ_PHẨM_CHẤT!$H$6)</f>
        <v/>
      </c>
      <c r="J131" s="30" t="str">
        <f aca="false">IF(CHỈ_SỐ_TRẮNG!$J$31="","",CHỈ_SỐ_TRẮNG!$J$31+HỆ_SỐ_PHẨM_CHẤT!$I$6)</f>
        <v/>
      </c>
      <c r="K131" s="30" t="str">
        <f aca="false">IF(CHỈ_SỐ_TRẮNG!$K$31="","",CHỈ_SỐ_TRẮNG!$K$31+HỆ_SỐ_PHẨM_CHẤT!$J$6)</f>
        <v/>
      </c>
      <c r="L131" s="31" t="str">
        <f aca="false">IF(CHỈ_SỐ_TRẮNG!$L$31="","",CHỈ_SỐ_TRẮNG!$L$31+HỆ_SỐ_PHẨM_CHẤT!$K$6)</f>
        <v/>
      </c>
      <c r="M131" s="30" t="str">
        <f aca="false">IF(CHỈ_SỐ_TRẮNG!$M$31="","",CHỈ_SỐ_TRẮNG!$M$31+HỆ_SỐ_PHẨM_CHẤT!$L$6)</f>
        <v/>
      </c>
      <c r="N131" s="22" t="str">
        <f aca="false">IF(OR(N(I131)&gt;0.1,N(K131)&gt;0.1),"Né/chí mạng vượt 10%","")</f>
        <v/>
      </c>
    </row>
    <row r="132" customFormat="false" ht="15" hidden="false" customHeight="true" outlineLevel="0" collapsed="false">
      <c r="A132" s="22" t="str">
        <f aca="false">NHÂN_VẬT!$A$31</f>
        <v>NV27</v>
      </c>
      <c r="B132" s="22" t="str">
        <f aca="false">IF(NHÂN_VẬT!$B$31="","",NHÂN_VẬT!$B$31)</f>
        <v/>
      </c>
      <c r="C132" s="22" t="str">
        <f aca="false">HỆ_SỐ_PHẨM_CHẤT!$A$7</f>
        <v>Xanh dương</v>
      </c>
      <c r="D132" s="28" t="str">
        <f aca="false">IF(CHỈ_SỐ_TRẮNG!$D$31="","",ROUND(CHỈ_SỐ_TRẮNG!$D$31*HỆ_SỐ_PHẨM_CHẤT!$C$7,0))</f>
        <v/>
      </c>
      <c r="E132" s="28" t="str">
        <f aca="false">IF(CHỈ_SỐ_TRẮNG!$E$31="","",ROUND(CHỈ_SỐ_TRẮNG!$E$31*HỆ_SỐ_PHẨM_CHẤT!$D$7,0))</f>
        <v/>
      </c>
      <c r="F132" s="28" t="str">
        <f aca="false">IF(CHỈ_SỐ_TRẮNG!$F$31="","",ROUND(CHỈ_SỐ_TRẮNG!$F$31*HỆ_SỐ_PHẨM_CHẤT!$E$7,0))</f>
        <v/>
      </c>
      <c r="G132" s="29" t="str">
        <f aca="false">IF(CHỈ_SỐ_TRẮNG!$G$31="","",CHỈ_SỐ_TRẮNG!$G$31+HỆ_SỐ_PHẨM_CHẤT!$G$7)</f>
        <v/>
      </c>
      <c r="H132" s="29" t="str">
        <f aca="false">IF(CHỈ_SỐ_TRẮNG!$H$31="","",ROUND(CHỈ_SỐ_TRẮNG!$H$31*HỆ_SỐ_PHẨM_CHẤT!$F$7,1))</f>
        <v/>
      </c>
      <c r="I132" s="30" t="str">
        <f aca="false">IF(CHỈ_SỐ_TRẮNG!$I$31="","",CHỈ_SỐ_TRẮNG!$I$31+HỆ_SỐ_PHẨM_CHẤT!$H$7)</f>
        <v/>
      </c>
      <c r="J132" s="30" t="str">
        <f aca="false">IF(CHỈ_SỐ_TRẮNG!$J$31="","",CHỈ_SỐ_TRẮNG!$J$31+HỆ_SỐ_PHẨM_CHẤT!$I$7)</f>
        <v/>
      </c>
      <c r="K132" s="30" t="str">
        <f aca="false">IF(CHỈ_SỐ_TRẮNG!$K$31="","",CHỈ_SỐ_TRẮNG!$K$31+HỆ_SỐ_PHẨM_CHẤT!$J$7)</f>
        <v/>
      </c>
      <c r="L132" s="31" t="str">
        <f aca="false">IF(CHỈ_SỐ_TRẮNG!$L$31="","",CHỈ_SỐ_TRẮNG!$L$31+HỆ_SỐ_PHẨM_CHẤT!$K$7)</f>
        <v/>
      </c>
      <c r="M132" s="30" t="str">
        <f aca="false">IF(CHỈ_SỐ_TRẮNG!$M$31="","",CHỈ_SỐ_TRẮNG!$M$31+HỆ_SỐ_PHẨM_CHẤT!$L$7)</f>
        <v/>
      </c>
      <c r="N132" s="22" t="str">
        <f aca="false">IF(OR(N(I132)&gt;0.1,N(K132)&gt;0.1),"Né/chí mạng vượt 10%","")</f>
        <v/>
      </c>
    </row>
    <row r="133" customFormat="false" ht="15" hidden="false" customHeight="true" outlineLevel="0" collapsed="false">
      <c r="A133" s="22" t="str">
        <f aca="false">NHÂN_VẬT!$A$31</f>
        <v>NV27</v>
      </c>
      <c r="B133" s="22" t="str">
        <f aca="false">IF(NHÂN_VẬT!$B$31="","",NHÂN_VẬT!$B$31)</f>
        <v/>
      </c>
      <c r="C133" s="22" t="str">
        <f aca="false">HỆ_SỐ_PHẨM_CHẤT!$A$8</f>
        <v>Tím</v>
      </c>
      <c r="D133" s="28" t="str">
        <f aca="false">IF(CHỈ_SỐ_TRẮNG!$D$31="","",ROUND(CHỈ_SỐ_TRẮNG!$D$31*HỆ_SỐ_PHẨM_CHẤT!$C$8,0))</f>
        <v/>
      </c>
      <c r="E133" s="28" t="str">
        <f aca="false">IF(CHỈ_SỐ_TRẮNG!$E$31="","",ROUND(CHỈ_SỐ_TRẮNG!$E$31*HỆ_SỐ_PHẨM_CHẤT!$D$8,0))</f>
        <v/>
      </c>
      <c r="F133" s="28" t="str">
        <f aca="false">IF(CHỈ_SỐ_TRẮNG!$F$31="","",ROUND(CHỈ_SỐ_TRẮNG!$F$31*HỆ_SỐ_PHẨM_CHẤT!$E$8,0))</f>
        <v/>
      </c>
      <c r="G133" s="29" t="str">
        <f aca="false">IF(CHỈ_SỐ_TRẮNG!$G$31="","",CHỈ_SỐ_TRẮNG!$G$31+HỆ_SỐ_PHẨM_CHẤT!$G$8)</f>
        <v/>
      </c>
      <c r="H133" s="29" t="str">
        <f aca="false">IF(CHỈ_SỐ_TRẮNG!$H$31="","",ROUND(CHỈ_SỐ_TRẮNG!$H$31*HỆ_SỐ_PHẨM_CHẤT!$F$8,1))</f>
        <v/>
      </c>
      <c r="I133" s="30" t="str">
        <f aca="false">IF(CHỈ_SỐ_TRẮNG!$I$31="","",CHỈ_SỐ_TRẮNG!$I$31+HỆ_SỐ_PHẨM_CHẤT!$H$8)</f>
        <v/>
      </c>
      <c r="J133" s="30" t="str">
        <f aca="false">IF(CHỈ_SỐ_TRẮNG!$J$31="","",CHỈ_SỐ_TRẮNG!$J$31+HỆ_SỐ_PHẨM_CHẤT!$I$8)</f>
        <v/>
      </c>
      <c r="K133" s="30" t="str">
        <f aca="false">IF(CHỈ_SỐ_TRẮNG!$K$31="","",CHỈ_SỐ_TRẮNG!$K$31+HỆ_SỐ_PHẨM_CHẤT!$J$8)</f>
        <v/>
      </c>
      <c r="L133" s="31" t="str">
        <f aca="false">IF(CHỈ_SỐ_TRẮNG!$L$31="","",CHỈ_SỐ_TRẮNG!$L$31+HỆ_SỐ_PHẨM_CHẤT!$K$8)</f>
        <v/>
      </c>
      <c r="M133" s="30" t="str">
        <f aca="false">IF(CHỈ_SỐ_TRẮNG!$M$31="","",CHỈ_SỐ_TRẮNG!$M$31+HỆ_SỐ_PHẨM_CHẤT!$L$8)</f>
        <v/>
      </c>
      <c r="N133" s="22" t="str">
        <f aca="false">IF(OR(N(I133)&gt;0.1,N(K133)&gt;0.1),"Né/chí mạng vượt 10%","")</f>
        <v/>
      </c>
    </row>
    <row r="134" customFormat="false" ht="15" hidden="false" customHeight="true" outlineLevel="0" collapsed="false">
      <c r="A134" s="22" t="str">
        <f aca="false">NHÂN_VẬT!$A$31</f>
        <v>NV27</v>
      </c>
      <c r="B134" s="22" t="str">
        <f aca="false">IF(NHÂN_VẬT!$B$31="","",NHÂN_VẬT!$B$31)</f>
        <v/>
      </c>
      <c r="C134" s="22" t="str">
        <f aca="false">HỆ_SỐ_PHẨM_CHẤT!$A$9</f>
        <v>Đỏ</v>
      </c>
      <c r="D134" s="28" t="str">
        <f aca="false">IF(CHỈ_SỐ_TRẮNG!$D$31="","",ROUND(CHỈ_SỐ_TRẮNG!$D$31*HỆ_SỐ_PHẨM_CHẤT!$C$9,0))</f>
        <v/>
      </c>
      <c r="E134" s="28" t="str">
        <f aca="false">IF(CHỈ_SỐ_TRẮNG!$E$31="","",ROUND(CHỈ_SỐ_TRẮNG!$E$31*HỆ_SỐ_PHẨM_CHẤT!$D$9,0))</f>
        <v/>
      </c>
      <c r="F134" s="28" t="str">
        <f aca="false">IF(CHỈ_SỐ_TRẮNG!$F$31="","",ROUND(CHỈ_SỐ_TRẮNG!$F$31*HỆ_SỐ_PHẨM_CHẤT!$E$9,0))</f>
        <v/>
      </c>
      <c r="G134" s="29" t="str">
        <f aca="false">IF(CHỈ_SỐ_TRẮNG!$G$31="","",CHỈ_SỐ_TRẮNG!$G$31+HỆ_SỐ_PHẨM_CHẤT!$G$9)</f>
        <v/>
      </c>
      <c r="H134" s="29" t="str">
        <f aca="false">IF(CHỈ_SỐ_TRẮNG!$H$31="","",ROUND(CHỈ_SỐ_TRẮNG!$H$31*HỆ_SỐ_PHẨM_CHẤT!$F$9,1))</f>
        <v/>
      </c>
      <c r="I134" s="30" t="str">
        <f aca="false">IF(CHỈ_SỐ_TRẮNG!$I$31="","",CHỈ_SỐ_TRẮNG!$I$31+HỆ_SỐ_PHẨM_CHẤT!$H$9)</f>
        <v/>
      </c>
      <c r="J134" s="30" t="str">
        <f aca="false">IF(CHỈ_SỐ_TRẮNG!$J$31="","",CHỈ_SỐ_TRẮNG!$J$31+HỆ_SỐ_PHẨM_CHẤT!$I$9)</f>
        <v/>
      </c>
      <c r="K134" s="30" t="str">
        <f aca="false">IF(CHỈ_SỐ_TRẮNG!$K$31="","",CHỈ_SỐ_TRẮNG!$K$31+HỆ_SỐ_PHẨM_CHẤT!$J$9)</f>
        <v/>
      </c>
      <c r="L134" s="31" t="str">
        <f aca="false">IF(CHỈ_SỐ_TRẮNG!$L$31="","",CHỈ_SỐ_TRẮNG!$L$31+HỆ_SỐ_PHẨM_CHẤT!$K$9)</f>
        <v/>
      </c>
      <c r="M134" s="30" t="str">
        <f aca="false">IF(CHỈ_SỐ_TRẮNG!$M$31="","",CHỈ_SỐ_TRẮNG!$M$31+HỆ_SỐ_PHẨM_CHẤT!$L$9)</f>
        <v/>
      </c>
      <c r="N134" s="22" t="str">
        <f aca="false">IF(OR(N(I134)&gt;0.1,N(K134)&gt;0.1),"Né/chí mạng vượt 10%","")</f>
        <v/>
      </c>
    </row>
    <row r="135" customFormat="false" ht="15" hidden="false" customHeight="true" outlineLevel="0" collapsed="false">
      <c r="A135" s="22" t="str">
        <f aca="false">NHÂN_VẬT!$A$32</f>
        <v>NV28</v>
      </c>
      <c r="B135" s="22" t="str">
        <f aca="false">IF(NHÂN_VẬT!$B$32="","",NHÂN_VẬT!$B$32)</f>
        <v/>
      </c>
      <c r="C135" s="22" t="str">
        <f aca="false">HỆ_SỐ_PHẨM_CHẤT!$A$5</f>
        <v>Trắng</v>
      </c>
      <c r="D135" s="28" t="str">
        <f aca="false">IF(CHỈ_SỐ_TRẮNG!$D$32="","",ROUND(CHỈ_SỐ_TRẮNG!$D$32*HỆ_SỐ_PHẨM_CHẤT!$C$5,0))</f>
        <v/>
      </c>
      <c r="E135" s="28" t="str">
        <f aca="false">IF(CHỈ_SỐ_TRẮNG!$E$32="","",ROUND(CHỈ_SỐ_TRẮNG!$E$32*HỆ_SỐ_PHẨM_CHẤT!$D$5,0))</f>
        <v/>
      </c>
      <c r="F135" s="28" t="str">
        <f aca="false">IF(CHỈ_SỐ_TRẮNG!$F$32="","",ROUND(CHỈ_SỐ_TRẮNG!$F$32*HỆ_SỐ_PHẨM_CHẤT!$E$5,0))</f>
        <v/>
      </c>
      <c r="G135" s="29" t="str">
        <f aca="false">IF(CHỈ_SỐ_TRẮNG!$G$32="","",CHỈ_SỐ_TRẮNG!$G$32+HỆ_SỐ_PHẨM_CHẤT!$G$5)</f>
        <v/>
      </c>
      <c r="H135" s="29" t="str">
        <f aca="false">IF(CHỈ_SỐ_TRẮNG!$H$32="","",ROUND(CHỈ_SỐ_TRẮNG!$H$32*HỆ_SỐ_PHẨM_CHẤT!$F$5,1))</f>
        <v/>
      </c>
      <c r="I135" s="30" t="str">
        <f aca="false">IF(CHỈ_SỐ_TRẮNG!$I$32="","",CHỈ_SỐ_TRẮNG!$I$32+HỆ_SỐ_PHẨM_CHẤT!$H$5)</f>
        <v/>
      </c>
      <c r="J135" s="30" t="str">
        <f aca="false">IF(CHỈ_SỐ_TRẮNG!$J$32="","",CHỈ_SỐ_TRẮNG!$J$32+HỆ_SỐ_PHẨM_CHẤT!$I$5)</f>
        <v/>
      </c>
      <c r="K135" s="30" t="str">
        <f aca="false">IF(CHỈ_SỐ_TRẮNG!$K$32="","",CHỈ_SỐ_TRẮNG!$K$32+HỆ_SỐ_PHẨM_CHẤT!$J$5)</f>
        <v/>
      </c>
      <c r="L135" s="31" t="str">
        <f aca="false">IF(CHỈ_SỐ_TRẮNG!$L$32="","",CHỈ_SỐ_TRẮNG!$L$32+HỆ_SỐ_PHẨM_CHẤT!$K$5)</f>
        <v/>
      </c>
      <c r="M135" s="30" t="str">
        <f aca="false">IF(CHỈ_SỐ_TRẮNG!$M$32="","",CHỈ_SỐ_TRẮNG!$M$32+HỆ_SỐ_PHẨM_CHẤT!$L$5)</f>
        <v/>
      </c>
      <c r="N135" s="22" t="str">
        <f aca="false">IF(OR(N(I135)&gt;0.1,N(K135)&gt;0.1),"Né/chí mạng vượt 10%","")</f>
        <v/>
      </c>
    </row>
    <row r="136" customFormat="false" ht="15" hidden="false" customHeight="true" outlineLevel="0" collapsed="false">
      <c r="A136" s="22" t="str">
        <f aca="false">NHÂN_VẬT!$A$32</f>
        <v>NV28</v>
      </c>
      <c r="B136" s="22" t="str">
        <f aca="false">IF(NHÂN_VẬT!$B$32="","",NHÂN_VẬT!$B$32)</f>
        <v/>
      </c>
      <c r="C136" s="22" t="str">
        <f aca="false">HỆ_SỐ_PHẨM_CHẤT!$A$6</f>
        <v>Xanh lá</v>
      </c>
      <c r="D136" s="28" t="str">
        <f aca="false">IF(CHỈ_SỐ_TRẮNG!$D$32="","",ROUND(CHỈ_SỐ_TRẮNG!$D$32*HỆ_SỐ_PHẨM_CHẤT!$C$6,0))</f>
        <v/>
      </c>
      <c r="E136" s="28" t="str">
        <f aca="false">IF(CHỈ_SỐ_TRẮNG!$E$32="","",ROUND(CHỈ_SỐ_TRẮNG!$E$32*HỆ_SỐ_PHẨM_CHẤT!$D$6,0))</f>
        <v/>
      </c>
      <c r="F136" s="28" t="str">
        <f aca="false">IF(CHỈ_SỐ_TRẮNG!$F$32="","",ROUND(CHỈ_SỐ_TRẮNG!$F$32*HỆ_SỐ_PHẨM_CHẤT!$E$6,0))</f>
        <v/>
      </c>
      <c r="G136" s="29" t="str">
        <f aca="false">IF(CHỈ_SỐ_TRẮNG!$G$32="","",CHỈ_SỐ_TRẮNG!$G$32+HỆ_SỐ_PHẨM_CHẤT!$G$6)</f>
        <v/>
      </c>
      <c r="H136" s="29" t="str">
        <f aca="false">IF(CHỈ_SỐ_TRẮNG!$H$32="","",ROUND(CHỈ_SỐ_TRẮNG!$H$32*HỆ_SỐ_PHẨM_CHẤT!$F$6,1))</f>
        <v/>
      </c>
      <c r="I136" s="30" t="str">
        <f aca="false">IF(CHỈ_SỐ_TRẮNG!$I$32="","",CHỈ_SỐ_TRẮNG!$I$32+HỆ_SỐ_PHẨM_CHẤT!$H$6)</f>
        <v/>
      </c>
      <c r="J136" s="30" t="str">
        <f aca="false">IF(CHỈ_SỐ_TRẮNG!$J$32="","",CHỈ_SỐ_TRẮNG!$J$32+HỆ_SỐ_PHẨM_CHẤT!$I$6)</f>
        <v/>
      </c>
      <c r="K136" s="30" t="str">
        <f aca="false">IF(CHỈ_SỐ_TRẮNG!$K$32="","",CHỈ_SỐ_TRẮNG!$K$32+HỆ_SỐ_PHẨM_CHẤT!$J$6)</f>
        <v/>
      </c>
      <c r="L136" s="31" t="str">
        <f aca="false">IF(CHỈ_SỐ_TRẮNG!$L$32="","",CHỈ_SỐ_TRẮNG!$L$32+HỆ_SỐ_PHẨM_CHẤT!$K$6)</f>
        <v/>
      </c>
      <c r="M136" s="30" t="str">
        <f aca="false">IF(CHỈ_SỐ_TRẮNG!$M$32="","",CHỈ_SỐ_TRẮNG!$M$32+HỆ_SỐ_PHẨM_CHẤT!$L$6)</f>
        <v/>
      </c>
      <c r="N136" s="22" t="str">
        <f aca="false">IF(OR(N(I136)&gt;0.1,N(K136)&gt;0.1),"Né/chí mạng vượt 10%","")</f>
        <v/>
      </c>
    </row>
    <row r="137" customFormat="false" ht="15" hidden="false" customHeight="true" outlineLevel="0" collapsed="false">
      <c r="A137" s="22" t="str">
        <f aca="false">NHÂN_VẬT!$A$32</f>
        <v>NV28</v>
      </c>
      <c r="B137" s="22" t="str">
        <f aca="false">IF(NHÂN_VẬT!$B$32="","",NHÂN_VẬT!$B$32)</f>
        <v/>
      </c>
      <c r="C137" s="22" t="str">
        <f aca="false">HỆ_SỐ_PHẨM_CHẤT!$A$7</f>
        <v>Xanh dương</v>
      </c>
      <c r="D137" s="28" t="str">
        <f aca="false">IF(CHỈ_SỐ_TRẮNG!$D$32="","",ROUND(CHỈ_SỐ_TRẮNG!$D$32*HỆ_SỐ_PHẨM_CHẤT!$C$7,0))</f>
        <v/>
      </c>
      <c r="E137" s="28" t="str">
        <f aca="false">IF(CHỈ_SỐ_TRẮNG!$E$32="","",ROUND(CHỈ_SỐ_TRẮNG!$E$32*HỆ_SỐ_PHẨM_CHẤT!$D$7,0))</f>
        <v/>
      </c>
      <c r="F137" s="28" t="str">
        <f aca="false">IF(CHỈ_SỐ_TRẮNG!$F$32="","",ROUND(CHỈ_SỐ_TRẮNG!$F$32*HỆ_SỐ_PHẨM_CHẤT!$E$7,0))</f>
        <v/>
      </c>
      <c r="G137" s="29" t="str">
        <f aca="false">IF(CHỈ_SỐ_TRẮNG!$G$32="","",CHỈ_SỐ_TRẮNG!$G$32+HỆ_SỐ_PHẨM_CHẤT!$G$7)</f>
        <v/>
      </c>
      <c r="H137" s="29" t="str">
        <f aca="false">IF(CHỈ_SỐ_TRẮNG!$H$32="","",ROUND(CHỈ_SỐ_TRẮNG!$H$32*HỆ_SỐ_PHẨM_CHẤT!$F$7,1))</f>
        <v/>
      </c>
      <c r="I137" s="30" t="str">
        <f aca="false">IF(CHỈ_SỐ_TRẮNG!$I$32="","",CHỈ_SỐ_TRẮNG!$I$32+HỆ_SỐ_PHẨM_CHẤT!$H$7)</f>
        <v/>
      </c>
      <c r="J137" s="30" t="str">
        <f aca="false">IF(CHỈ_SỐ_TRẮNG!$J$32="","",CHỈ_SỐ_TRẮNG!$J$32+HỆ_SỐ_PHẨM_CHẤT!$I$7)</f>
        <v/>
      </c>
      <c r="K137" s="30" t="str">
        <f aca="false">IF(CHỈ_SỐ_TRẮNG!$K$32="","",CHỈ_SỐ_TRẮNG!$K$32+HỆ_SỐ_PHẨM_CHẤT!$J$7)</f>
        <v/>
      </c>
      <c r="L137" s="31" t="str">
        <f aca="false">IF(CHỈ_SỐ_TRẮNG!$L$32="","",CHỈ_SỐ_TRẮNG!$L$32+HỆ_SỐ_PHẨM_CHẤT!$K$7)</f>
        <v/>
      </c>
      <c r="M137" s="30" t="str">
        <f aca="false">IF(CHỈ_SỐ_TRẮNG!$M$32="","",CHỈ_SỐ_TRẮNG!$M$32+HỆ_SỐ_PHẨM_CHẤT!$L$7)</f>
        <v/>
      </c>
      <c r="N137" s="22" t="str">
        <f aca="false">IF(OR(N(I137)&gt;0.1,N(K137)&gt;0.1),"Né/chí mạng vượt 10%","")</f>
        <v/>
      </c>
    </row>
    <row r="138" customFormat="false" ht="15" hidden="false" customHeight="true" outlineLevel="0" collapsed="false">
      <c r="A138" s="22" t="str">
        <f aca="false">NHÂN_VẬT!$A$32</f>
        <v>NV28</v>
      </c>
      <c r="B138" s="22" t="str">
        <f aca="false">IF(NHÂN_VẬT!$B$32="","",NHÂN_VẬT!$B$32)</f>
        <v/>
      </c>
      <c r="C138" s="22" t="str">
        <f aca="false">HỆ_SỐ_PHẨM_CHẤT!$A$8</f>
        <v>Tím</v>
      </c>
      <c r="D138" s="28" t="str">
        <f aca="false">IF(CHỈ_SỐ_TRẮNG!$D$32="","",ROUND(CHỈ_SỐ_TRẮNG!$D$32*HỆ_SỐ_PHẨM_CHẤT!$C$8,0))</f>
        <v/>
      </c>
      <c r="E138" s="28" t="str">
        <f aca="false">IF(CHỈ_SỐ_TRẮNG!$E$32="","",ROUND(CHỈ_SỐ_TRẮNG!$E$32*HỆ_SỐ_PHẨM_CHẤT!$D$8,0))</f>
        <v/>
      </c>
      <c r="F138" s="28" t="str">
        <f aca="false">IF(CHỈ_SỐ_TRẮNG!$F$32="","",ROUND(CHỈ_SỐ_TRẮNG!$F$32*HỆ_SỐ_PHẨM_CHẤT!$E$8,0))</f>
        <v/>
      </c>
      <c r="G138" s="29" t="str">
        <f aca="false">IF(CHỈ_SỐ_TRẮNG!$G$32="","",CHỈ_SỐ_TRẮNG!$G$32+HỆ_SỐ_PHẨM_CHẤT!$G$8)</f>
        <v/>
      </c>
      <c r="H138" s="29" t="str">
        <f aca="false">IF(CHỈ_SỐ_TRẮNG!$H$32="","",ROUND(CHỈ_SỐ_TRẮNG!$H$32*HỆ_SỐ_PHẨM_CHẤT!$F$8,1))</f>
        <v/>
      </c>
      <c r="I138" s="30" t="str">
        <f aca="false">IF(CHỈ_SỐ_TRẮNG!$I$32="","",CHỈ_SỐ_TRẮNG!$I$32+HỆ_SỐ_PHẨM_CHẤT!$H$8)</f>
        <v/>
      </c>
      <c r="J138" s="30" t="str">
        <f aca="false">IF(CHỈ_SỐ_TRẮNG!$J$32="","",CHỈ_SỐ_TRẮNG!$J$32+HỆ_SỐ_PHẨM_CHẤT!$I$8)</f>
        <v/>
      </c>
      <c r="K138" s="30" t="str">
        <f aca="false">IF(CHỈ_SỐ_TRẮNG!$K$32="","",CHỈ_SỐ_TRẮNG!$K$32+HỆ_SỐ_PHẨM_CHẤT!$J$8)</f>
        <v/>
      </c>
      <c r="L138" s="31" t="str">
        <f aca="false">IF(CHỈ_SỐ_TRẮNG!$L$32="","",CHỈ_SỐ_TRẮNG!$L$32+HỆ_SỐ_PHẨM_CHẤT!$K$8)</f>
        <v/>
      </c>
      <c r="M138" s="30" t="str">
        <f aca="false">IF(CHỈ_SỐ_TRẮNG!$M$32="","",CHỈ_SỐ_TRẮNG!$M$32+HỆ_SỐ_PHẨM_CHẤT!$L$8)</f>
        <v/>
      </c>
      <c r="N138" s="22" t="str">
        <f aca="false">IF(OR(N(I138)&gt;0.1,N(K138)&gt;0.1),"Né/chí mạng vượt 10%","")</f>
        <v/>
      </c>
    </row>
    <row r="139" customFormat="false" ht="15" hidden="false" customHeight="true" outlineLevel="0" collapsed="false">
      <c r="A139" s="22" t="str">
        <f aca="false">NHÂN_VẬT!$A$32</f>
        <v>NV28</v>
      </c>
      <c r="B139" s="22" t="str">
        <f aca="false">IF(NHÂN_VẬT!$B$32="","",NHÂN_VẬT!$B$32)</f>
        <v/>
      </c>
      <c r="C139" s="22" t="str">
        <f aca="false">HỆ_SỐ_PHẨM_CHẤT!$A$9</f>
        <v>Đỏ</v>
      </c>
      <c r="D139" s="28" t="str">
        <f aca="false">IF(CHỈ_SỐ_TRẮNG!$D$32="","",ROUND(CHỈ_SỐ_TRẮNG!$D$32*HỆ_SỐ_PHẨM_CHẤT!$C$9,0))</f>
        <v/>
      </c>
      <c r="E139" s="28" t="str">
        <f aca="false">IF(CHỈ_SỐ_TRẮNG!$E$32="","",ROUND(CHỈ_SỐ_TRẮNG!$E$32*HỆ_SỐ_PHẨM_CHẤT!$D$9,0))</f>
        <v/>
      </c>
      <c r="F139" s="28" t="str">
        <f aca="false">IF(CHỈ_SỐ_TRẮNG!$F$32="","",ROUND(CHỈ_SỐ_TRẮNG!$F$32*HỆ_SỐ_PHẨM_CHẤT!$E$9,0))</f>
        <v/>
      </c>
      <c r="G139" s="29" t="str">
        <f aca="false">IF(CHỈ_SỐ_TRẮNG!$G$32="","",CHỈ_SỐ_TRẮNG!$G$32+HỆ_SỐ_PHẨM_CHẤT!$G$9)</f>
        <v/>
      </c>
      <c r="H139" s="29" t="str">
        <f aca="false">IF(CHỈ_SỐ_TRẮNG!$H$32="","",ROUND(CHỈ_SỐ_TRẮNG!$H$32*HỆ_SỐ_PHẨM_CHẤT!$F$9,1))</f>
        <v/>
      </c>
      <c r="I139" s="30" t="str">
        <f aca="false">IF(CHỈ_SỐ_TRẮNG!$I$32="","",CHỈ_SỐ_TRẮNG!$I$32+HỆ_SỐ_PHẨM_CHẤT!$H$9)</f>
        <v/>
      </c>
      <c r="J139" s="30" t="str">
        <f aca="false">IF(CHỈ_SỐ_TRẮNG!$J$32="","",CHỈ_SỐ_TRẮNG!$J$32+HỆ_SỐ_PHẨM_CHẤT!$I$9)</f>
        <v/>
      </c>
      <c r="K139" s="30" t="str">
        <f aca="false">IF(CHỈ_SỐ_TRẮNG!$K$32="","",CHỈ_SỐ_TRẮNG!$K$32+HỆ_SỐ_PHẨM_CHẤT!$J$9)</f>
        <v/>
      </c>
      <c r="L139" s="31" t="str">
        <f aca="false">IF(CHỈ_SỐ_TRẮNG!$L$32="","",CHỈ_SỐ_TRẮNG!$L$32+HỆ_SỐ_PHẨM_CHẤT!$K$9)</f>
        <v/>
      </c>
      <c r="M139" s="30" t="str">
        <f aca="false">IF(CHỈ_SỐ_TRẮNG!$M$32="","",CHỈ_SỐ_TRẮNG!$M$32+HỆ_SỐ_PHẨM_CHẤT!$L$9)</f>
        <v/>
      </c>
      <c r="N139" s="22" t="str">
        <f aca="false">IF(OR(N(I139)&gt;0.1,N(K139)&gt;0.1),"Né/chí mạng vượt 10%","")</f>
        <v/>
      </c>
    </row>
    <row r="140" customFormat="false" ht="15" hidden="false" customHeight="true" outlineLevel="0" collapsed="false">
      <c r="A140" s="22" t="str">
        <f aca="false">NHÂN_VẬT!$A$33</f>
        <v>NV29</v>
      </c>
      <c r="B140" s="22" t="str">
        <f aca="false">IF(NHÂN_VẬT!$B$33="","",NHÂN_VẬT!$B$33)</f>
        <v/>
      </c>
      <c r="C140" s="22" t="str">
        <f aca="false">HỆ_SỐ_PHẨM_CHẤT!$A$5</f>
        <v>Trắng</v>
      </c>
      <c r="D140" s="28" t="str">
        <f aca="false">IF(CHỈ_SỐ_TRẮNG!$D$33="","",ROUND(CHỈ_SỐ_TRẮNG!$D$33*HỆ_SỐ_PHẨM_CHẤT!$C$5,0))</f>
        <v/>
      </c>
      <c r="E140" s="28" t="str">
        <f aca="false">IF(CHỈ_SỐ_TRẮNG!$E$33="","",ROUND(CHỈ_SỐ_TRẮNG!$E$33*HỆ_SỐ_PHẨM_CHẤT!$D$5,0))</f>
        <v/>
      </c>
      <c r="F140" s="28" t="str">
        <f aca="false">IF(CHỈ_SỐ_TRẮNG!$F$33="","",ROUND(CHỈ_SỐ_TRẮNG!$F$33*HỆ_SỐ_PHẨM_CHẤT!$E$5,0))</f>
        <v/>
      </c>
      <c r="G140" s="29" t="str">
        <f aca="false">IF(CHỈ_SỐ_TRẮNG!$G$33="","",CHỈ_SỐ_TRẮNG!$G$33+HỆ_SỐ_PHẨM_CHẤT!$G$5)</f>
        <v/>
      </c>
      <c r="H140" s="29" t="str">
        <f aca="false">IF(CHỈ_SỐ_TRẮNG!$H$33="","",ROUND(CHỈ_SỐ_TRẮNG!$H$33*HỆ_SỐ_PHẨM_CHẤT!$F$5,1))</f>
        <v/>
      </c>
      <c r="I140" s="30" t="str">
        <f aca="false">IF(CHỈ_SỐ_TRẮNG!$I$33="","",CHỈ_SỐ_TRẮNG!$I$33+HỆ_SỐ_PHẨM_CHẤT!$H$5)</f>
        <v/>
      </c>
      <c r="J140" s="30" t="str">
        <f aca="false">IF(CHỈ_SỐ_TRẮNG!$J$33="","",CHỈ_SỐ_TRẮNG!$J$33+HỆ_SỐ_PHẨM_CHẤT!$I$5)</f>
        <v/>
      </c>
      <c r="K140" s="30" t="str">
        <f aca="false">IF(CHỈ_SỐ_TRẮNG!$K$33="","",CHỈ_SỐ_TRẮNG!$K$33+HỆ_SỐ_PHẨM_CHẤT!$J$5)</f>
        <v/>
      </c>
      <c r="L140" s="31" t="str">
        <f aca="false">IF(CHỈ_SỐ_TRẮNG!$L$33="","",CHỈ_SỐ_TRẮNG!$L$33+HỆ_SỐ_PHẨM_CHẤT!$K$5)</f>
        <v/>
      </c>
      <c r="M140" s="30" t="str">
        <f aca="false">IF(CHỈ_SỐ_TRẮNG!$M$33="","",CHỈ_SỐ_TRẮNG!$M$33+HỆ_SỐ_PHẨM_CHẤT!$L$5)</f>
        <v/>
      </c>
      <c r="N140" s="22" t="str">
        <f aca="false">IF(OR(N(I140)&gt;0.1,N(K140)&gt;0.1),"Né/chí mạng vượt 10%","")</f>
        <v/>
      </c>
    </row>
    <row r="141" customFormat="false" ht="15" hidden="false" customHeight="true" outlineLevel="0" collapsed="false">
      <c r="A141" s="22" t="str">
        <f aca="false">NHÂN_VẬT!$A$33</f>
        <v>NV29</v>
      </c>
      <c r="B141" s="22" t="str">
        <f aca="false">IF(NHÂN_VẬT!$B$33="","",NHÂN_VẬT!$B$33)</f>
        <v/>
      </c>
      <c r="C141" s="22" t="str">
        <f aca="false">HỆ_SỐ_PHẨM_CHẤT!$A$6</f>
        <v>Xanh lá</v>
      </c>
      <c r="D141" s="28" t="str">
        <f aca="false">IF(CHỈ_SỐ_TRẮNG!$D$33="","",ROUND(CHỈ_SỐ_TRẮNG!$D$33*HỆ_SỐ_PHẨM_CHẤT!$C$6,0))</f>
        <v/>
      </c>
      <c r="E141" s="28" t="str">
        <f aca="false">IF(CHỈ_SỐ_TRẮNG!$E$33="","",ROUND(CHỈ_SỐ_TRẮNG!$E$33*HỆ_SỐ_PHẨM_CHẤT!$D$6,0))</f>
        <v/>
      </c>
      <c r="F141" s="28" t="str">
        <f aca="false">IF(CHỈ_SỐ_TRẮNG!$F$33="","",ROUND(CHỈ_SỐ_TRẮNG!$F$33*HỆ_SỐ_PHẨM_CHẤT!$E$6,0))</f>
        <v/>
      </c>
      <c r="G141" s="29" t="str">
        <f aca="false">IF(CHỈ_SỐ_TRẮNG!$G$33="","",CHỈ_SỐ_TRẮNG!$G$33+HỆ_SỐ_PHẨM_CHẤT!$G$6)</f>
        <v/>
      </c>
      <c r="H141" s="29" t="str">
        <f aca="false">IF(CHỈ_SỐ_TRẮNG!$H$33="","",ROUND(CHỈ_SỐ_TRẮNG!$H$33*HỆ_SỐ_PHẨM_CHẤT!$F$6,1))</f>
        <v/>
      </c>
      <c r="I141" s="30" t="str">
        <f aca="false">IF(CHỈ_SỐ_TRẮNG!$I$33="","",CHỈ_SỐ_TRẮNG!$I$33+HỆ_SỐ_PHẨM_CHẤT!$H$6)</f>
        <v/>
      </c>
      <c r="J141" s="30" t="str">
        <f aca="false">IF(CHỈ_SỐ_TRẮNG!$J$33="","",CHỈ_SỐ_TRẮNG!$J$33+HỆ_SỐ_PHẨM_CHẤT!$I$6)</f>
        <v/>
      </c>
      <c r="K141" s="30" t="str">
        <f aca="false">IF(CHỈ_SỐ_TRẮNG!$K$33="","",CHỈ_SỐ_TRẮNG!$K$33+HỆ_SỐ_PHẨM_CHẤT!$J$6)</f>
        <v/>
      </c>
      <c r="L141" s="31" t="str">
        <f aca="false">IF(CHỈ_SỐ_TRẮNG!$L$33="","",CHỈ_SỐ_TRẮNG!$L$33+HỆ_SỐ_PHẨM_CHẤT!$K$6)</f>
        <v/>
      </c>
      <c r="M141" s="30" t="str">
        <f aca="false">IF(CHỈ_SỐ_TRẮNG!$M$33="","",CHỈ_SỐ_TRẮNG!$M$33+HỆ_SỐ_PHẨM_CHẤT!$L$6)</f>
        <v/>
      </c>
      <c r="N141" s="22" t="str">
        <f aca="false">IF(OR(N(I141)&gt;0.1,N(K141)&gt;0.1),"Né/chí mạng vượt 10%","")</f>
        <v/>
      </c>
    </row>
    <row r="142" customFormat="false" ht="15" hidden="false" customHeight="true" outlineLevel="0" collapsed="false">
      <c r="A142" s="22" t="str">
        <f aca="false">NHÂN_VẬT!$A$33</f>
        <v>NV29</v>
      </c>
      <c r="B142" s="22" t="str">
        <f aca="false">IF(NHÂN_VẬT!$B$33="","",NHÂN_VẬT!$B$33)</f>
        <v/>
      </c>
      <c r="C142" s="22" t="str">
        <f aca="false">HỆ_SỐ_PHẨM_CHẤT!$A$7</f>
        <v>Xanh dương</v>
      </c>
      <c r="D142" s="28" t="str">
        <f aca="false">IF(CHỈ_SỐ_TRẮNG!$D$33="","",ROUND(CHỈ_SỐ_TRẮNG!$D$33*HỆ_SỐ_PHẨM_CHẤT!$C$7,0))</f>
        <v/>
      </c>
      <c r="E142" s="28" t="str">
        <f aca="false">IF(CHỈ_SỐ_TRẮNG!$E$33="","",ROUND(CHỈ_SỐ_TRẮNG!$E$33*HỆ_SỐ_PHẨM_CHẤT!$D$7,0))</f>
        <v/>
      </c>
      <c r="F142" s="28" t="str">
        <f aca="false">IF(CHỈ_SỐ_TRẮNG!$F$33="","",ROUND(CHỈ_SỐ_TRẮNG!$F$33*HỆ_SỐ_PHẨM_CHẤT!$E$7,0))</f>
        <v/>
      </c>
      <c r="G142" s="29" t="str">
        <f aca="false">IF(CHỈ_SỐ_TRẮNG!$G$33="","",CHỈ_SỐ_TRẮNG!$G$33+HỆ_SỐ_PHẨM_CHẤT!$G$7)</f>
        <v/>
      </c>
      <c r="H142" s="29" t="str">
        <f aca="false">IF(CHỈ_SỐ_TRẮNG!$H$33="","",ROUND(CHỈ_SỐ_TRẮNG!$H$33*HỆ_SỐ_PHẨM_CHẤT!$F$7,1))</f>
        <v/>
      </c>
      <c r="I142" s="30" t="str">
        <f aca="false">IF(CHỈ_SỐ_TRẮNG!$I$33="","",CHỈ_SỐ_TRẮNG!$I$33+HỆ_SỐ_PHẨM_CHẤT!$H$7)</f>
        <v/>
      </c>
      <c r="J142" s="30" t="str">
        <f aca="false">IF(CHỈ_SỐ_TRẮNG!$J$33="","",CHỈ_SỐ_TRẮNG!$J$33+HỆ_SỐ_PHẨM_CHẤT!$I$7)</f>
        <v/>
      </c>
      <c r="K142" s="30" t="str">
        <f aca="false">IF(CHỈ_SỐ_TRẮNG!$K$33="","",CHỈ_SỐ_TRẮNG!$K$33+HỆ_SỐ_PHẨM_CHẤT!$J$7)</f>
        <v/>
      </c>
      <c r="L142" s="31" t="str">
        <f aca="false">IF(CHỈ_SỐ_TRẮNG!$L$33="","",CHỈ_SỐ_TRẮNG!$L$33+HỆ_SỐ_PHẨM_CHẤT!$K$7)</f>
        <v/>
      </c>
      <c r="M142" s="30" t="str">
        <f aca="false">IF(CHỈ_SỐ_TRẮNG!$M$33="","",CHỈ_SỐ_TRẮNG!$M$33+HỆ_SỐ_PHẨM_CHẤT!$L$7)</f>
        <v/>
      </c>
      <c r="N142" s="22" t="str">
        <f aca="false">IF(OR(N(I142)&gt;0.1,N(K142)&gt;0.1),"Né/chí mạng vượt 10%","")</f>
        <v/>
      </c>
    </row>
    <row r="143" customFormat="false" ht="15" hidden="false" customHeight="true" outlineLevel="0" collapsed="false">
      <c r="A143" s="22" t="str">
        <f aca="false">NHÂN_VẬT!$A$33</f>
        <v>NV29</v>
      </c>
      <c r="B143" s="22" t="str">
        <f aca="false">IF(NHÂN_VẬT!$B$33="","",NHÂN_VẬT!$B$33)</f>
        <v/>
      </c>
      <c r="C143" s="22" t="str">
        <f aca="false">HỆ_SỐ_PHẨM_CHẤT!$A$8</f>
        <v>Tím</v>
      </c>
      <c r="D143" s="28" t="str">
        <f aca="false">IF(CHỈ_SỐ_TRẮNG!$D$33="","",ROUND(CHỈ_SỐ_TRẮNG!$D$33*HỆ_SỐ_PHẨM_CHẤT!$C$8,0))</f>
        <v/>
      </c>
      <c r="E143" s="28" t="str">
        <f aca="false">IF(CHỈ_SỐ_TRẮNG!$E$33="","",ROUND(CHỈ_SỐ_TRẮNG!$E$33*HỆ_SỐ_PHẨM_CHẤT!$D$8,0))</f>
        <v/>
      </c>
      <c r="F143" s="28" t="str">
        <f aca="false">IF(CHỈ_SỐ_TRẮNG!$F$33="","",ROUND(CHỈ_SỐ_TRẮNG!$F$33*HỆ_SỐ_PHẨM_CHẤT!$E$8,0))</f>
        <v/>
      </c>
      <c r="G143" s="29" t="str">
        <f aca="false">IF(CHỈ_SỐ_TRẮNG!$G$33="","",CHỈ_SỐ_TRẮNG!$G$33+HỆ_SỐ_PHẨM_CHẤT!$G$8)</f>
        <v/>
      </c>
      <c r="H143" s="29" t="str">
        <f aca="false">IF(CHỈ_SỐ_TRẮNG!$H$33="","",ROUND(CHỈ_SỐ_TRẮNG!$H$33*HỆ_SỐ_PHẨM_CHẤT!$F$8,1))</f>
        <v/>
      </c>
      <c r="I143" s="30" t="str">
        <f aca="false">IF(CHỈ_SỐ_TRẮNG!$I$33="","",CHỈ_SỐ_TRẮNG!$I$33+HỆ_SỐ_PHẨM_CHẤT!$H$8)</f>
        <v/>
      </c>
      <c r="J143" s="30" t="str">
        <f aca="false">IF(CHỈ_SỐ_TRẮNG!$J$33="","",CHỈ_SỐ_TRẮNG!$J$33+HỆ_SỐ_PHẨM_CHẤT!$I$8)</f>
        <v/>
      </c>
      <c r="K143" s="30" t="str">
        <f aca="false">IF(CHỈ_SỐ_TRẮNG!$K$33="","",CHỈ_SỐ_TRẮNG!$K$33+HỆ_SỐ_PHẨM_CHẤT!$J$8)</f>
        <v/>
      </c>
      <c r="L143" s="31" t="str">
        <f aca="false">IF(CHỈ_SỐ_TRẮNG!$L$33="","",CHỈ_SỐ_TRẮNG!$L$33+HỆ_SỐ_PHẨM_CHẤT!$K$8)</f>
        <v/>
      </c>
      <c r="M143" s="30" t="str">
        <f aca="false">IF(CHỈ_SỐ_TRẮNG!$M$33="","",CHỈ_SỐ_TRẮNG!$M$33+HỆ_SỐ_PHẨM_CHẤT!$L$8)</f>
        <v/>
      </c>
      <c r="N143" s="22" t="str">
        <f aca="false">IF(OR(N(I143)&gt;0.1,N(K143)&gt;0.1),"Né/chí mạng vượt 10%","")</f>
        <v/>
      </c>
    </row>
    <row r="144" customFormat="false" ht="15" hidden="false" customHeight="true" outlineLevel="0" collapsed="false">
      <c r="A144" s="22" t="str">
        <f aca="false">NHÂN_VẬT!$A$33</f>
        <v>NV29</v>
      </c>
      <c r="B144" s="22" t="str">
        <f aca="false">IF(NHÂN_VẬT!$B$33="","",NHÂN_VẬT!$B$33)</f>
        <v/>
      </c>
      <c r="C144" s="22" t="str">
        <f aca="false">HỆ_SỐ_PHẨM_CHẤT!$A$9</f>
        <v>Đỏ</v>
      </c>
      <c r="D144" s="28" t="str">
        <f aca="false">IF(CHỈ_SỐ_TRẮNG!$D$33="","",ROUND(CHỈ_SỐ_TRẮNG!$D$33*HỆ_SỐ_PHẨM_CHẤT!$C$9,0))</f>
        <v/>
      </c>
      <c r="E144" s="28" t="str">
        <f aca="false">IF(CHỈ_SỐ_TRẮNG!$E$33="","",ROUND(CHỈ_SỐ_TRẮNG!$E$33*HỆ_SỐ_PHẨM_CHẤT!$D$9,0))</f>
        <v/>
      </c>
      <c r="F144" s="28" t="str">
        <f aca="false">IF(CHỈ_SỐ_TRẮNG!$F$33="","",ROUND(CHỈ_SỐ_TRẮNG!$F$33*HỆ_SỐ_PHẨM_CHẤT!$E$9,0))</f>
        <v/>
      </c>
      <c r="G144" s="29" t="str">
        <f aca="false">IF(CHỈ_SỐ_TRẮNG!$G$33="","",CHỈ_SỐ_TRẮNG!$G$33+HỆ_SỐ_PHẨM_CHẤT!$G$9)</f>
        <v/>
      </c>
      <c r="H144" s="29" t="str">
        <f aca="false">IF(CHỈ_SỐ_TRẮNG!$H$33="","",ROUND(CHỈ_SỐ_TRẮNG!$H$33*HỆ_SỐ_PHẨM_CHẤT!$F$9,1))</f>
        <v/>
      </c>
      <c r="I144" s="30" t="str">
        <f aca="false">IF(CHỈ_SỐ_TRẮNG!$I$33="","",CHỈ_SỐ_TRẮNG!$I$33+HỆ_SỐ_PHẨM_CHẤT!$H$9)</f>
        <v/>
      </c>
      <c r="J144" s="30" t="str">
        <f aca="false">IF(CHỈ_SỐ_TRẮNG!$J$33="","",CHỈ_SỐ_TRẮNG!$J$33+HỆ_SỐ_PHẨM_CHẤT!$I$9)</f>
        <v/>
      </c>
      <c r="K144" s="30" t="str">
        <f aca="false">IF(CHỈ_SỐ_TRẮNG!$K$33="","",CHỈ_SỐ_TRẮNG!$K$33+HỆ_SỐ_PHẨM_CHẤT!$J$9)</f>
        <v/>
      </c>
      <c r="L144" s="31" t="str">
        <f aca="false">IF(CHỈ_SỐ_TRẮNG!$L$33="","",CHỈ_SỐ_TRẮNG!$L$33+HỆ_SỐ_PHẨM_CHẤT!$K$9)</f>
        <v/>
      </c>
      <c r="M144" s="30" t="str">
        <f aca="false">IF(CHỈ_SỐ_TRẮNG!$M$33="","",CHỈ_SỐ_TRẮNG!$M$33+HỆ_SỐ_PHẨM_CHẤT!$L$9)</f>
        <v/>
      </c>
      <c r="N144" s="22" t="str">
        <f aca="false">IF(OR(N(I144)&gt;0.1,N(K144)&gt;0.1),"Né/chí mạng vượt 10%","")</f>
        <v/>
      </c>
    </row>
    <row r="145" customFormat="false" ht="15" hidden="false" customHeight="true" outlineLevel="0" collapsed="false">
      <c r="A145" s="22" t="str">
        <f aca="false">NHÂN_VẬT!$A$34</f>
        <v>NV30</v>
      </c>
      <c r="B145" s="22" t="str">
        <f aca="false">IF(NHÂN_VẬT!$B$34="","",NHÂN_VẬT!$B$34)</f>
        <v/>
      </c>
      <c r="C145" s="22" t="str">
        <f aca="false">HỆ_SỐ_PHẨM_CHẤT!$A$5</f>
        <v>Trắng</v>
      </c>
      <c r="D145" s="28" t="str">
        <f aca="false">IF(CHỈ_SỐ_TRẮNG!$D$34="","",ROUND(CHỈ_SỐ_TRẮNG!$D$34*HỆ_SỐ_PHẨM_CHẤT!$C$5,0))</f>
        <v/>
      </c>
      <c r="E145" s="28" t="str">
        <f aca="false">IF(CHỈ_SỐ_TRẮNG!$E$34="","",ROUND(CHỈ_SỐ_TRẮNG!$E$34*HỆ_SỐ_PHẨM_CHẤT!$D$5,0))</f>
        <v/>
      </c>
      <c r="F145" s="28" t="str">
        <f aca="false">IF(CHỈ_SỐ_TRẮNG!$F$34="","",ROUND(CHỈ_SỐ_TRẮNG!$F$34*HỆ_SỐ_PHẨM_CHẤT!$E$5,0))</f>
        <v/>
      </c>
      <c r="G145" s="29" t="str">
        <f aca="false">IF(CHỈ_SỐ_TRẮNG!$G$34="","",CHỈ_SỐ_TRẮNG!$G$34+HỆ_SỐ_PHẨM_CHẤT!$G$5)</f>
        <v/>
      </c>
      <c r="H145" s="29" t="str">
        <f aca="false">IF(CHỈ_SỐ_TRẮNG!$H$34="","",ROUND(CHỈ_SỐ_TRẮNG!$H$34*HỆ_SỐ_PHẨM_CHẤT!$F$5,1))</f>
        <v/>
      </c>
      <c r="I145" s="30" t="str">
        <f aca="false">IF(CHỈ_SỐ_TRẮNG!$I$34="","",CHỈ_SỐ_TRẮNG!$I$34+HỆ_SỐ_PHẨM_CHẤT!$H$5)</f>
        <v/>
      </c>
      <c r="J145" s="30" t="str">
        <f aca="false">IF(CHỈ_SỐ_TRẮNG!$J$34="","",CHỈ_SỐ_TRẮNG!$J$34+HỆ_SỐ_PHẨM_CHẤT!$I$5)</f>
        <v/>
      </c>
      <c r="K145" s="30" t="str">
        <f aca="false">IF(CHỈ_SỐ_TRẮNG!$K$34="","",CHỈ_SỐ_TRẮNG!$K$34+HỆ_SỐ_PHẨM_CHẤT!$J$5)</f>
        <v/>
      </c>
      <c r="L145" s="31" t="str">
        <f aca="false">IF(CHỈ_SỐ_TRẮNG!$L$34="","",CHỈ_SỐ_TRẮNG!$L$34+HỆ_SỐ_PHẨM_CHẤT!$K$5)</f>
        <v/>
      </c>
      <c r="M145" s="30" t="str">
        <f aca="false">IF(CHỈ_SỐ_TRẮNG!$M$34="","",CHỈ_SỐ_TRẮNG!$M$34+HỆ_SỐ_PHẨM_CHẤT!$L$5)</f>
        <v/>
      </c>
      <c r="N145" s="22" t="str">
        <f aca="false">IF(OR(N(I145)&gt;0.1,N(K145)&gt;0.1),"Né/chí mạng vượt 10%","")</f>
        <v/>
      </c>
    </row>
    <row r="146" customFormat="false" ht="15" hidden="false" customHeight="true" outlineLevel="0" collapsed="false">
      <c r="A146" s="22" t="str">
        <f aca="false">NHÂN_VẬT!$A$34</f>
        <v>NV30</v>
      </c>
      <c r="B146" s="22" t="str">
        <f aca="false">IF(NHÂN_VẬT!$B$34="","",NHÂN_VẬT!$B$34)</f>
        <v/>
      </c>
      <c r="C146" s="22" t="str">
        <f aca="false">HỆ_SỐ_PHẨM_CHẤT!$A$6</f>
        <v>Xanh lá</v>
      </c>
      <c r="D146" s="28" t="str">
        <f aca="false">IF(CHỈ_SỐ_TRẮNG!$D$34="","",ROUND(CHỈ_SỐ_TRẮNG!$D$34*HỆ_SỐ_PHẨM_CHẤT!$C$6,0))</f>
        <v/>
      </c>
      <c r="E146" s="28" t="str">
        <f aca="false">IF(CHỈ_SỐ_TRẮNG!$E$34="","",ROUND(CHỈ_SỐ_TRẮNG!$E$34*HỆ_SỐ_PHẨM_CHẤT!$D$6,0))</f>
        <v/>
      </c>
      <c r="F146" s="28" t="str">
        <f aca="false">IF(CHỈ_SỐ_TRẮNG!$F$34="","",ROUND(CHỈ_SỐ_TRẮNG!$F$34*HỆ_SỐ_PHẨM_CHẤT!$E$6,0))</f>
        <v/>
      </c>
      <c r="G146" s="29" t="str">
        <f aca="false">IF(CHỈ_SỐ_TRẮNG!$G$34="","",CHỈ_SỐ_TRẮNG!$G$34+HỆ_SỐ_PHẨM_CHẤT!$G$6)</f>
        <v/>
      </c>
      <c r="H146" s="29" t="str">
        <f aca="false">IF(CHỈ_SỐ_TRẮNG!$H$34="","",ROUND(CHỈ_SỐ_TRẮNG!$H$34*HỆ_SỐ_PHẨM_CHẤT!$F$6,1))</f>
        <v/>
      </c>
      <c r="I146" s="30" t="str">
        <f aca="false">IF(CHỈ_SỐ_TRẮNG!$I$34="","",CHỈ_SỐ_TRẮNG!$I$34+HỆ_SỐ_PHẨM_CHẤT!$H$6)</f>
        <v/>
      </c>
      <c r="J146" s="30" t="str">
        <f aca="false">IF(CHỈ_SỐ_TRẮNG!$J$34="","",CHỈ_SỐ_TRẮNG!$J$34+HỆ_SỐ_PHẨM_CHẤT!$I$6)</f>
        <v/>
      </c>
      <c r="K146" s="30" t="str">
        <f aca="false">IF(CHỈ_SỐ_TRẮNG!$K$34="","",CHỈ_SỐ_TRẮNG!$K$34+HỆ_SỐ_PHẨM_CHẤT!$J$6)</f>
        <v/>
      </c>
      <c r="L146" s="31" t="str">
        <f aca="false">IF(CHỈ_SỐ_TRẮNG!$L$34="","",CHỈ_SỐ_TRẮNG!$L$34+HỆ_SỐ_PHẨM_CHẤT!$K$6)</f>
        <v/>
      </c>
      <c r="M146" s="30" t="str">
        <f aca="false">IF(CHỈ_SỐ_TRẮNG!$M$34="","",CHỈ_SỐ_TRẮNG!$M$34+HỆ_SỐ_PHẨM_CHẤT!$L$6)</f>
        <v/>
      </c>
      <c r="N146" s="22" t="str">
        <f aca="false">IF(OR(N(I146)&gt;0.1,N(K146)&gt;0.1),"Né/chí mạng vượt 10%","")</f>
        <v/>
      </c>
    </row>
    <row r="147" customFormat="false" ht="15" hidden="false" customHeight="true" outlineLevel="0" collapsed="false">
      <c r="A147" s="22" t="str">
        <f aca="false">NHÂN_VẬT!$A$34</f>
        <v>NV30</v>
      </c>
      <c r="B147" s="22" t="str">
        <f aca="false">IF(NHÂN_VẬT!$B$34="","",NHÂN_VẬT!$B$34)</f>
        <v/>
      </c>
      <c r="C147" s="22" t="str">
        <f aca="false">HỆ_SỐ_PHẨM_CHẤT!$A$7</f>
        <v>Xanh dương</v>
      </c>
      <c r="D147" s="28" t="str">
        <f aca="false">IF(CHỈ_SỐ_TRẮNG!$D$34="","",ROUND(CHỈ_SỐ_TRẮNG!$D$34*HỆ_SỐ_PHẨM_CHẤT!$C$7,0))</f>
        <v/>
      </c>
      <c r="E147" s="28" t="str">
        <f aca="false">IF(CHỈ_SỐ_TRẮNG!$E$34="","",ROUND(CHỈ_SỐ_TRẮNG!$E$34*HỆ_SỐ_PHẨM_CHẤT!$D$7,0))</f>
        <v/>
      </c>
      <c r="F147" s="28" t="str">
        <f aca="false">IF(CHỈ_SỐ_TRẮNG!$F$34="","",ROUND(CHỈ_SỐ_TRẮNG!$F$34*HỆ_SỐ_PHẨM_CHẤT!$E$7,0))</f>
        <v/>
      </c>
      <c r="G147" s="29" t="str">
        <f aca="false">IF(CHỈ_SỐ_TRẮNG!$G$34="","",CHỈ_SỐ_TRẮNG!$G$34+HỆ_SỐ_PHẨM_CHẤT!$G$7)</f>
        <v/>
      </c>
      <c r="H147" s="29" t="str">
        <f aca="false">IF(CHỈ_SỐ_TRẮNG!$H$34="","",ROUND(CHỈ_SỐ_TRẮNG!$H$34*HỆ_SỐ_PHẨM_CHẤT!$F$7,1))</f>
        <v/>
      </c>
      <c r="I147" s="30" t="str">
        <f aca="false">IF(CHỈ_SỐ_TRẮNG!$I$34="","",CHỈ_SỐ_TRẮNG!$I$34+HỆ_SỐ_PHẨM_CHẤT!$H$7)</f>
        <v/>
      </c>
      <c r="J147" s="30" t="str">
        <f aca="false">IF(CHỈ_SỐ_TRẮNG!$J$34="","",CHỈ_SỐ_TRẮNG!$J$34+HỆ_SỐ_PHẨM_CHẤT!$I$7)</f>
        <v/>
      </c>
      <c r="K147" s="30" t="str">
        <f aca="false">IF(CHỈ_SỐ_TRẮNG!$K$34="","",CHỈ_SỐ_TRẮNG!$K$34+HỆ_SỐ_PHẨM_CHẤT!$J$7)</f>
        <v/>
      </c>
      <c r="L147" s="31" t="str">
        <f aca="false">IF(CHỈ_SỐ_TRẮNG!$L$34="","",CHỈ_SỐ_TRẮNG!$L$34+HỆ_SỐ_PHẨM_CHẤT!$K$7)</f>
        <v/>
      </c>
      <c r="M147" s="30" t="str">
        <f aca="false">IF(CHỈ_SỐ_TRẮNG!$M$34="","",CHỈ_SỐ_TRẮNG!$M$34+HỆ_SỐ_PHẨM_CHẤT!$L$7)</f>
        <v/>
      </c>
      <c r="N147" s="22" t="str">
        <f aca="false">IF(OR(N(I147)&gt;0.1,N(K147)&gt;0.1),"Né/chí mạng vượt 10%","")</f>
        <v/>
      </c>
    </row>
    <row r="148" customFormat="false" ht="15" hidden="false" customHeight="true" outlineLevel="0" collapsed="false">
      <c r="A148" s="22" t="str">
        <f aca="false">NHÂN_VẬT!$A$34</f>
        <v>NV30</v>
      </c>
      <c r="B148" s="22" t="str">
        <f aca="false">IF(NHÂN_VẬT!$B$34="","",NHÂN_VẬT!$B$34)</f>
        <v/>
      </c>
      <c r="C148" s="22" t="str">
        <f aca="false">HỆ_SỐ_PHẨM_CHẤT!$A$8</f>
        <v>Tím</v>
      </c>
      <c r="D148" s="28" t="str">
        <f aca="false">IF(CHỈ_SỐ_TRẮNG!$D$34="","",ROUND(CHỈ_SỐ_TRẮNG!$D$34*HỆ_SỐ_PHẨM_CHẤT!$C$8,0))</f>
        <v/>
      </c>
      <c r="E148" s="28" t="str">
        <f aca="false">IF(CHỈ_SỐ_TRẮNG!$E$34="","",ROUND(CHỈ_SỐ_TRẮNG!$E$34*HỆ_SỐ_PHẨM_CHẤT!$D$8,0))</f>
        <v/>
      </c>
      <c r="F148" s="28" t="str">
        <f aca="false">IF(CHỈ_SỐ_TRẮNG!$F$34="","",ROUND(CHỈ_SỐ_TRẮNG!$F$34*HỆ_SỐ_PHẨM_CHẤT!$E$8,0))</f>
        <v/>
      </c>
      <c r="G148" s="29" t="str">
        <f aca="false">IF(CHỈ_SỐ_TRẮNG!$G$34="","",CHỈ_SỐ_TRẮNG!$G$34+HỆ_SỐ_PHẨM_CHẤT!$G$8)</f>
        <v/>
      </c>
      <c r="H148" s="29" t="str">
        <f aca="false">IF(CHỈ_SỐ_TRẮNG!$H$34="","",ROUND(CHỈ_SỐ_TRẮNG!$H$34*HỆ_SỐ_PHẨM_CHẤT!$F$8,1))</f>
        <v/>
      </c>
      <c r="I148" s="30" t="str">
        <f aca="false">IF(CHỈ_SỐ_TRẮNG!$I$34="","",CHỈ_SỐ_TRẮNG!$I$34+HỆ_SỐ_PHẨM_CHẤT!$H$8)</f>
        <v/>
      </c>
      <c r="J148" s="30" t="str">
        <f aca="false">IF(CHỈ_SỐ_TRẮNG!$J$34="","",CHỈ_SỐ_TRẮNG!$J$34+HỆ_SỐ_PHẨM_CHẤT!$I$8)</f>
        <v/>
      </c>
      <c r="K148" s="30" t="str">
        <f aca="false">IF(CHỈ_SỐ_TRẮNG!$K$34="","",CHỈ_SỐ_TRẮNG!$K$34+HỆ_SỐ_PHẨM_CHẤT!$J$8)</f>
        <v/>
      </c>
      <c r="L148" s="31" t="str">
        <f aca="false">IF(CHỈ_SỐ_TRẮNG!$L$34="","",CHỈ_SỐ_TRẮNG!$L$34+HỆ_SỐ_PHẨM_CHẤT!$K$8)</f>
        <v/>
      </c>
      <c r="M148" s="30" t="str">
        <f aca="false">IF(CHỈ_SỐ_TRẮNG!$M$34="","",CHỈ_SỐ_TRẮNG!$M$34+HỆ_SỐ_PHẨM_CHẤT!$L$8)</f>
        <v/>
      </c>
      <c r="N148" s="22" t="str">
        <f aca="false">IF(OR(N(I148)&gt;0.1,N(K148)&gt;0.1),"Né/chí mạng vượt 10%","")</f>
        <v/>
      </c>
    </row>
    <row r="149" customFormat="false" ht="15" hidden="false" customHeight="true" outlineLevel="0" collapsed="false">
      <c r="A149" s="22" t="str">
        <f aca="false">NHÂN_VẬT!$A$34</f>
        <v>NV30</v>
      </c>
      <c r="B149" s="22" t="str">
        <f aca="false">IF(NHÂN_VẬT!$B$34="","",NHÂN_VẬT!$B$34)</f>
        <v/>
      </c>
      <c r="C149" s="22" t="str">
        <f aca="false">HỆ_SỐ_PHẨM_CHẤT!$A$9</f>
        <v>Đỏ</v>
      </c>
      <c r="D149" s="28" t="str">
        <f aca="false">IF(CHỈ_SỐ_TRẮNG!$D$34="","",ROUND(CHỈ_SỐ_TRẮNG!$D$34*HỆ_SỐ_PHẨM_CHẤT!$C$9,0))</f>
        <v/>
      </c>
      <c r="E149" s="28" t="str">
        <f aca="false">IF(CHỈ_SỐ_TRẮNG!$E$34="","",ROUND(CHỈ_SỐ_TRẮNG!$E$34*HỆ_SỐ_PHẨM_CHẤT!$D$9,0))</f>
        <v/>
      </c>
      <c r="F149" s="28" t="str">
        <f aca="false">IF(CHỈ_SỐ_TRẮNG!$F$34="","",ROUND(CHỈ_SỐ_TRẮNG!$F$34*HỆ_SỐ_PHẨM_CHẤT!$E$9,0))</f>
        <v/>
      </c>
      <c r="G149" s="29" t="str">
        <f aca="false">IF(CHỈ_SỐ_TRẮNG!$G$34="","",CHỈ_SỐ_TRẮNG!$G$34+HỆ_SỐ_PHẨM_CHẤT!$G$9)</f>
        <v/>
      </c>
      <c r="H149" s="29" t="str">
        <f aca="false">IF(CHỈ_SỐ_TRẮNG!$H$34="","",ROUND(CHỈ_SỐ_TRẮNG!$H$34*HỆ_SỐ_PHẨM_CHẤT!$F$9,1))</f>
        <v/>
      </c>
      <c r="I149" s="30" t="str">
        <f aca="false">IF(CHỈ_SỐ_TRẮNG!$I$34="","",CHỈ_SỐ_TRẮNG!$I$34+HỆ_SỐ_PHẨM_CHẤT!$H$9)</f>
        <v/>
      </c>
      <c r="J149" s="30" t="str">
        <f aca="false">IF(CHỈ_SỐ_TRẮNG!$J$34="","",CHỈ_SỐ_TRẮNG!$J$34+HỆ_SỐ_PHẨM_CHẤT!$I$9)</f>
        <v/>
      </c>
      <c r="K149" s="30" t="str">
        <f aca="false">IF(CHỈ_SỐ_TRẮNG!$K$34="","",CHỈ_SỐ_TRẮNG!$K$34+HỆ_SỐ_PHẨM_CHẤT!$J$9)</f>
        <v/>
      </c>
      <c r="L149" s="31" t="str">
        <f aca="false">IF(CHỈ_SỐ_TRẮNG!$L$34="","",CHỈ_SỐ_TRẮNG!$L$34+HỆ_SỐ_PHẨM_CHẤT!$K$9)</f>
        <v/>
      </c>
      <c r="M149" s="30" t="str">
        <f aca="false">IF(CHỈ_SỐ_TRẮNG!$M$34="","",CHỈ_SỐ_TRẮNG!$M$34+HỆ_SỐ_PHẨM_CHẤT!$L$9)</f>
        <v/>
      </c>
      <c r="N149" s="22" t="str">
        <f aca="false">IF(OR(N(I149)&gt;0.1,N(K149)&gt;0.1),"Né/chí mạng vượt 10%","")</f>
        <v/>
      </c>
    </row>
  </sheetData>
  <conditionalFormatting sqref="A5:N149">
    <cfRule type="expression" priority="2" aboveAverage="0" equalAverage="0" bottom="0" percent="0" rank="0" text="" dxfId="7">
      <formula>$N5&lt;&gt;""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F27" activePane="bottomRight" state="frozen"/>
      <selection pane="topLeft" activeCell="A1" activeCellId="0" sqref="A1"/>
      <selection pane="topRight" activeCell="F1" activeCellId="0" sqref="F1"/>
      <selection pane="bottomLeft" activeCell="A27" activeCellId="0" sqref="A27"/>
      <selection pane="bottomRight" activeCell="F35" activeCellId="0" sqref="F35"/>
    </sheetView>
  </sheetViews>
  <sheetFormatPr defaultColWidth="8.714843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2"/>
    <col collapsed="false" customWidth="true" hidden="false" outlineLevel="0" max="4" min="4" style="1" width="24"/>
    <col collapsed="false" customWidth="true" hidden="false" outlineLevel="0" max="7" min="5" style="1" width="46"/>
    <col collapsed="false" customWidth="true" hidden="false" outlineLevel="0" max="8" min="8" style="1" width="50"/>
    <col collapsed="false" customWidth="true" hidden="false" outlineLevel="0" max="9" min="9" style="1" width="30"/>
  </cols>
  <sheetData>
    <row r="1" customFormat="false" ht="18" hidden="false" customHeight="true" outlineLevel="0" collapsed="false">
      <c r="A1" s="2" t="s">
        <v>430</v>
      </c>
    </row>
    <row r="2" customFormat="false" ht="15" hidden="false" customHeight="true" outlineLevel="0" collapsed="false">
      <c r="A2" s="9" t="s">
        <v>431</v>
      </c>
    </row>
    <row r="4" customFormat="false" ht="42" hidden="false" customHeight="true" outlineLevel="0" collapsed="false">
      <c r="A4" s="10" t="s">
        <v>323</v>
      </c>
      <c r="B4" s="10" t="s">
        <v>324</v>
      </c>
      <c r="C4" s="10" t="s">
        <v>432</v>
      </c>
      <c r="D4" s="10" t="s">
        <v>433</v>
      </c>
      <c r="E4" s="10" t="s">
        <v>434</v>
      </c>
      <c r="F4" s="10" t="s">
        <v>435</v>
      </c>
      <c r="G4" s="10" t="s">
        <v>436</v>
      </c>
      <c r="H4" s="10" t="s">
        <v>437</v>
      </c>
      <c r="I4" s="10" t="s">
        <v>57</v>
      </c>
    </row>
    <row r="5" customFormat="false" ht="25.5" hidden="false" customHeight="true" outlineLevel="0" collapsed="false">
      <c r="A5" s="22" t="str">
        <f aca="false">NHÂN_VẬT!$A$6</f>
        <v>NV01</v>
      </c>
      <c r="B5" s="22" t="str">
        <f aca="false">IF(NHÂN_VẬT!$B$6="","",NHÂN_VẬT!$B$6)</f>
        <v>HCM-THỦ KHO HIẾU</v>
      </c>
      <c r="C5" s="17" t="s">
        <v>438</v>
      </c>
      <c r="D5" s="21" t="s">
        <v>439</v>
      </c>
      <c r="E5" s="21" t="s">
        <v>440</v>
      </c>
      <c r="F5" s="21" t="s">
        <v>441</v>
      </c>
      <c r="G5" s="21" t="s">
        <v>442</v>
      </c>
      <c r="H5" s="21" t="s">
        <v>443</v>
      </c>
      <c r="I5" s="21"/>
    </row>
    <row r="6" customFormat="false" ht="25.5" hidden="false" customHeight="true" outlineLevel="0" collapsed="false">
      <c r="A6" s="22" t="str">
        <f aca="false">NHÂN_VẬT!$A$6</f>
        <v>NV01</v>
      </c>
      <c r="B6" s="22" t="str">
        <f aca="false">IF(NHÂN_VẬT!$B$6="","",NHÂN_VẬT!$B$6)</f>
        <v>HCM-THỦ KHO HIẾU</v>
      </c>
      <c r="C6" s="17" t="s">
        <v>444</v>
      </c>
      <c r="D6" s="21" t="s">
        <v>445</v>
      </c>
      <c r="E6" s="21"/>
      <c r="F6" s="21"/>
      <c r="G6" s="21" t="s">
        <v>446</v>
      </c>
      <c r="H6" s="21"/>
      <c r="I6" s="21"/>
    </row>
    <row r="7" customFormat="false" ht="25.5" hidden="false" customHeight="true" outlineLevel="0" collapsed="false">
      <c r="A7" s="22" t="str">
        <f aca="false">NHÂN_VẬT!$A$7</f>
        <v>NV02</v>
      </c>
      <c r="B7" s="22" t="str">
        <f aca="false">IF(NHÂN_VẬT!$B$7="","",NHÂN_VẬT!$B$7)</f>
        <v>HN-PHỤ KHO HƯNG</v>
      </c>
      <c r="C7" s="17" t="s">
        <v>438</v>
      </c>
      <c r="D7" s="21" t="s">
        <v>447</v>
      </c>
      <c r="E7" s="21" t="s">
        <v>448</v>
      </c>
      <c r="F7" s="21" t="s">
        <v>449</v>
      </c>
      <c r="G7" s="21" t="s">
        <v>450</v>
      </c>
      <c r="H7" s="21" t="s">
        <v>451</v>
      </c>
      <c r="I7" s="21"/>
    </row>
    <row r="8" customFormat="false" ht="25.5" hidden="false" customHeight="true" outlineLevel="0" collapsed="false">
      <c r="A8" s="22" t="str">
        <f aca="false">NHÂN_VẬT!$A$7</f>
        <v>NV02</v>
      </c>
      <c r="B8" s="22" t="str">
        <f aca="false">IF(NHÂN_VẬT!$B$7="","",NHÂN_VẬT!$B$7)</f>
        <v>HN-PHỤ KHO HƯNG</v>
      </c>
      <c r="C8" s="17" t="s">
        <v>444</v>
      </c>
      <c r="D8" s="21" t="s">
        <v>452</v>
      </c>
      <c r="E8" s="21"/>
      <c r="F8" s="21"/>
      <c r="G8" s="21" t="s">
        <v>453</v>
      </c>
      <c r="H8" s="21"/>
      <c r="I8" s="21"/>
    </row>
    <row r="9" customFormat="false" ht="25.5" hidden="false" customHeight="true" outlineLevel="0" collapsed="false">
      <c r="A9" s="22" t="str">
        <f aca="false">NHÂN_VẬT!$A$8</f>
        <v>NV03</v>
      </c>
      <c r="B9" s="22" t="str">
        <f aca="false">IF(NHÂN_VẬT!$B$8="","",NHÂN_VẬT!$B$8)</f>
        <v>HCM-PHỤ KHO VŨ</v>
      </c>
      <c r="C9" s="17" t="s">
        <v>438</v>
      </c>
      <c r="D9" s="21" t="s">
        <v>454</v>
      </c>
      <c r="E9" s="21" t="s">
        <v>455</v>
      </c>
      <c r="F9" s="21" t="s">
        <v>456</v>
      </c>
      <c r="G9" s="21" t="s">
        <v>457</v>
      </c>
      <c r="H9" s="21" t="s">
        <v>458</v>
      </c>
      <c r="I9" s="21" t="s">
        <v>459</v>
      </c>
    </row>
    <row r="10" customFormat="false" ht="15" hidden="false" customHeight="true" outlineLevel="0" collapsed="false">
      <c r="A10" s="22" t="str">
        <f aca="false">NHÂN_VẬT!$A$8</f>
        <v>NV03</v>
      </c>
      <c r="B10" s="22" t="str">
        <f aca="false">IF(NHÂN_VẬT!$B$8="","",NHÂN_VẬT!$B$8)</f>
        <v>HCM-PHỤ KHO VŨ</v>
      </c>
      <c r="C10" s="17" t="s">
        <v>444</v>
      </c>
      <c r="D10" s="21" t="s">
        <v>460</v>
      </c>
      <c r="E10" s="21"/>
      <c r="F10" s="21"/>
      <c r="G10" s="21" t="s">
        <v>461</v>
      </c>
      <c r="H10" s="21"/>
      <c r="I10" s="21"/>
    </row>
    <row r="11" customFormat="false" ht="25.5" hidden="false" customHeight="true" outlineLevel="0" collapsed="false">
      <c r="A11" s="22" t="str">
        <f aca="false">NHÂN_VẬT!$A$9</f>
        <v>NV04</v>
      </c>
      <c r="B11" s="22" t="str">
        <f aca="false">IF(NHÂN_VẬT!$B$9="","",NHÂN_VẬT!$B$9)</f>
        <v>HCM-SALE THẢO</v>
      </c>
      <c r="C11" s="17" t="s">
        <v>438</v>
      </c>
      <c r="D11" s="21" t="s">
        <v>462</v>
      </c>
      <c r="E11" s="21" t="s">
        <v>463</v>
      </c>
      <c r="F11" s="21" t="s">
        <v>464</v>
      </c>
      <c r="G11" s="21" t="s">
        <v>465</v>
      </c>
      <c r="H11" s="21" t="s">
        <v>466</v>
      </c>
      <c r="I11" s="21"/>
    </row>
    <row r="12" customFormat="false" ht="25.5" hidden="false" customHeight="true" outlineLevel="0" collapsed="false">
      <c r="A12" s="22" t="str">
        <f aca="false">NHÂN_VẬT!$A$9</f>
        <v>NV04</v>
      </c>
      <c r="B12" s="22" t="str">
        <f aca="false">IF(NHÂN_VẬT!$B$9="","",NHÂN_VẬT!$B$9)</f>
        <v>HCM-SALE THẢO</v>
      </c>
      <c r="C12" s="17" t="s">
        <v>444</v>
      </c>
      <c r="D12" s="21" t="s">
        <v>467</v>
      </c>
      <c r="E12" s="21"/>
      <c r="F12" s="21"/>
      <c r="G12" s="21" t="s">
        <v>468</v>
      </c>
      <c r="H12" s="21"/>
      <c r="I12" s="21"/>
    </row>
    <row r="13" customFormat="false" ht="38.25" hidden="false" customHeight="true" outlineLevel="0" collapsed="false">
      <c r="A13" s="22" t="str">
        <f aca="false">NHÂN_VẬT!$A$10</f>
        <v>NV05</v>
      </c>
      <c r="B13" s="22" t="str">
        <f aca="false">IF(NHÂN_VẬT!$B$10="","",NHÂN_VẬT!$B$10)</f>
        <v>HCM-SALE DƯƠNG</v>
      </c>
      <c r="C13" s="17" t="s">
        <v>438</v>
      </c>
      <c r="D13" s="21" t="s">
        <v>469</v>
      </c>
      <c r="E13" s="21" t="s">
        <v>470</v>
      </c>
      <c r="F13" s="21" t="s">
        <v>471</v>
      </c>
      <c r="G13" s="21" t="s">
        <v>472</v>
      </c>
      <c r="H13" s="21"/>
      <c r="I13" s="21"/>
    </row>
    <row r="14" customFormat="false" ht="25.5" hidden="false" customHeight="true" outlineLevel="0" collapsed="false">
      <c r="A14" s="22" t="str">
        <f aca="false">NHÂN_VẬT!$A$10</f>
        <v>NV05</v>
      </c>
      <c r="B14" s="22" t="str">
        <f aca="false">IF(NHÂN_VẬT!$B$10="","",NHÂN_VẬT!$B$10)</f>
        <v>HCM-SALE DƯƠNG</v>
      </c>
      <c r="C14" s="17" t="s">
        <v>444</v>
      </c>
      <c r="D14" s="21" t="s">
        <v>473</v>
      </c>
      <c r="E14" s="21"/>
      <c r="F14" s="21"/>
      <c r="G14" s="21" t="s">
        <v>474</v>
      </c>
      <c r="H14" s="21"/>
      <c r="I14" s="21" t="s">
        <v>475</v>
      </c>
    </row>
    <row r="15" customFormat="false" ht="51" hidden="false" customHeight="true" outlineLevel="0" collapsed="false">
      <c r="A15" s="22" t="str">
        <f aca="false">NHÂN_VẬT!$A$11</f>
        <v>NV06</v>
      </c>
      <c r="B15" s="22" t="str">
        <f aca="false">IF(NHÂN_VẬT!$B$11="","",NHÂN_VẬT!$B$11)</f>
        <v>HCM-SALE DUYÊN</v>
      </c>
      <c r="C15" s="17" t="s">
        <v>438</v>
      </c>
      <c r="D15" s="21" t="s">
        <v>476</v>
      </c>
      <c r="E15" s="21" t="s">
        <v>477</v>
      </c>
      <c r="F15" s="21" t="s">
        <v>478</v>
      </c>
      <c r="G15" s="21" t="s">
        <v>479</v>
      </c>
      <c r="H15" s="21"/>
      <c r="I15" s="21" t="s">
        <v>480</v>
      </c>
    </row>
    <row r="16" customFormat="false" ht="25.5" hidden="false" customHeight="true" outlineLevel="0" collapsed="false">
      <c r="A16" s="22" t="str">
        <f aca="false">NHÂN_VẬT!$A$11</f>
        <v>NV06</v>
      </c>
      <c r="B16" s="22" t="str">
        <f aca="false">IF(NHÂN_VẬT!$B$11="","",NHÂN_VẬT!$B$11)</f>
        <v>HCM-SALE DUYÊN</v>
      </c>
      <c r="C16" s="17" t="s">
        <v>444</v>
      </c>
      <c r="D16" s="21" t="s">
        <v>481</v>
      </c>
      <c r="E16" s="21"/>
      <c r="F16" s="21"/>
      <c r="G16" s="21" t="s">
        <v>482</v>
      </c>
      <c r="H16" s="21"/>
      <c r="I16" s="21"/>
    </row>
    <row r="17" customFormat="false" ht="15" hidden="false" customHeight="true" outlineLevel="0" collapsed="false">
      <c r="A17" s="22" t="str">
        <f aca="false">NHÂN_VẬT!$A$12</f>
        <v>NV07</v>
      </c>
      <c r="B17" s="22" t="str">
        <f aca="false">IF(NHÂN_VẬT!$B$12="","",NHÂN_VẬT!$B$12)</f>
        <v>HCM-KẾ TOÁN THU</v>
      </c>
      <c r="C17" s="17" t="s">
        <v>438</v>
      </c>
      <c r="D17" s="21" t="s">
        <v>483</v>
      </c>
      <c r="E17" s="21" t="s">
        <v>484</v>
      </c>
      <c r="F17" s="21" t="s">
        <v>485</v>
      </c>
      <c r="G17" s="21" t="s">
        <v>486</v>
      </c>
      <c r="H17" s="21"/>
      <c r="I17" s="21"/>
    </row>
    <row r="18" customFormat="false" ht="15" hidden="false" customHeight="true" outlineLevel="0" collapsed="false">
      <c r="A18" s="22" t="str">
        <f aca="false">NHÂN_VẬT!$A$12</f>
        <v>NV07</v>
      </c>
      <c r="B18" s="22" t="str">
        <f aca="false">IF(NHÂN_VẬT!$B$12="","",NHÂN_VẬT!$B$12)</f>
        <v>HCM-KẾ TOÁN THU</v>
      </c>
      <c r="C18" s="17" t="s">
        <v>444</v>
      </c>
      <c r="D18" s="21" t="s">
        <v>487</v>
      </c>
      <c r="E18" s="21"/>
      <c r="F18" s="21"/>
      <c r="G18" s="21" t="s">
        <v>488</v>
      </c>
      <c r="H18" s="21"/>
      <c r="I18" s="21"/>
    </row>
    <row r="19" customFormat="false" ht="25.5" hidden="false" customHeight="true" outlineLevel="0" collapsed="false">
      <c r="A19" s="22" t="str">
        <f aca="false">NHÂN_VẬT!$A$13</f>
        <v>NV08</v>
      </c>
      <c r="B19" s="22" t="str">
        <f aca="false">IF(NHÂN_VẬT!$B$13="","",NHÂN_VẬT!$B$13)</f>
        <v>HCM-SALE NHÂN</v>
      </c>
      <c r="C19" s="17" t="s">
        <v>438</v>
      </c>
      <c r="D19" s="21" t="s">
        <v>489</v>
      </c>
      <c r="E19" s="21" t="s">
        <v>490</v>
      </c>
      <c r="F19" s="21" t="s">
        <v>491</v>
      </c>
      <c r="G19" s="21" t="s">
        <v>492</v>
      </c>
      <c r="H19" s="21"/>
      <c r="I19" s="21"/>
    </row>
    <row r="20" customFormat="false" ht="38.25" hidden="false" customHeight="true" outlineLevel="0" collapsed="false">
      <c r="A20" s="22" t="str">
        <f aca="false">NHÂN_VẬT!$A$13</f>
        <v>NV08</v>
      </c>
      <c r="B20" s="22" t="str">
        <f aca="false">IF(NHÂN_VẬT!$B$13="","",NHÂN_VẬT!$B$13)</f>
        <v>HCM-SALE NHÂN</v>
      </c>
      <c r="C20" s="17" t="s">
        <v>444</v>
      </c>
      <c r="D20" s="21" t="s">
        <v>493</v>
      </c>
      <c r="E20" s="21"/>
      <c r="F20" s="21"/>
      <c r="G20" s="21" t="s">
        <v>494</v>
      </c>
      <c r="H20" s="21"/>
      <c r="I20" s="21" t="s">
        <v>495</v>
      </c>
    </row>
    <row r="21" customFormat="false" ht="38.25" hidden="false" customHeight="true" outlineLevel="0" collapsed="false">
      <c r="A21" s="22" t="str">
        <f aca="false">NHÂN_VẬT!$A$14</f>
        <v>NV09</v>
      </c>
      <c r="B21" s="22" t="str">
        <f aca="false">IF(NHÂN_VẬT!$B$14="","",NHÂN_VẬT!$B$14)</f>
        <v>HCM-PHỤ KHO ANH LÂM</v>
      </c>
      <c r="C21" s="17" t="s">
        <v>438</v>
      </c>
      <c r="D21" s="21" t="s">
        <v>496</v>
      </c>
      <c r="E21" s="21" t="s">
        <v>497</v>
      </c>
      <c r="F21" s="21" t="s">
        <v>498</v>
      </c>
      <c r="G21" s="21" t="s">
        <v>499</v>
      </c>
      <c r="H21" s="21"/>
      <c r="I21" s="21"/>
    </row>
    <row r="22" customFormat="false" ht="25.5" hidden="false" customHeight="true" outlineLevel="0" collapsed="false">
      <c r="A22" s="22" t="str">
        <f aca="false">NHÂN_VẬT!$A$14</f>
        <v>NV09</v>
      </c>
      <c r="B22" s="22" t="str">
        <f aca="false">IF(NHÂN_VẬT!$B$14="","",NHÂN_VẬT!$B$14)</f>
        <v>HCM-PHỤ KHO ANH LÂM</v>
      </c>
      <c r="C22" s="17" t="s">
        <v>444</v>
      </c>
      <c r="D22" s="21" t="s">
        <v>500</v>
      </c>
      <c r="E22" s="21"/>
      <c r="F22" s="21"/>
      <c r="G22" s="21" t="s">
        <v>501</v>
      </c>
      <c r="H22" s="21"/>
      <c r="I22" s="21"/>
    </row>
    <row r="23" customFormat="false" ht="25.5" hidden="false" customHeight="true" outlineLevel="0" collapsed="false">
      <c r="A23" s="22" t="str">
        <f aca="false">NHÂN_VẬT!$A$15</f>
        <v>NV11</v>
      </c>
      <c r="B23" s="22" t="str">
        <f aca="false">IF(NHÂN_VẬT!$B$15="","",NHÂN_VẬT!$B$15)</f>
        <v>HCM- BÍCH THÍCH CHAN</v>
      </c>
      <c r="C23" s="17" t="s">
        <v>438</v>
      </c>
      <c r="D23" s="21" t="s">
        <v>502</v>
      </c>
      <c r="E23" s="21" t="s">
        <v>503</v>
      </c>
      <c r="F23" s="21" t="s">
        <v>504</v>
      </c>
      <c r="G23" s="21" t="s">
        <v>505</v>
      </c>
      <c r="H23" s="21"/>
      <c r="I23" s="21"/>
    </row>
    <row r="24" customFormat="false" ht="51" hidden="false" customHeight="true" outlineLevel="0" collapsed="false">
      <c r="A24" s="22" t="str">
        <f aca="false">NHÂN_VẬT!$A$15</f>
        <v>NV11</v>
      </c>
      <c r="B24" s="22" t="str">
        <f aca="false">IF(NHÂN_VẬT!$B$15="","",NHÂN_VẬT!$B$15)</f>
        <v>HCM- BÍCH THÍCH CHAN</v>
      </c>
      <c r="C24" s="17" t="s">
        <v>444</v>
      </c>
      <c r="D24" s="21" t="s">
        <v>506</v>
      </c>
      <c r="E24" s="21"/>
      <c r="F24" s="21"/>
      <c r="G24" s="21" t="s">
        <v>507</v>
      </c>
      <c r="H24" s="21"/>
      <c r="I24" s="21"/>
    </row>
    <row r="25" customFormat="false" ht="15" hidden="false" customHeight="true" outlineLevel="0" collapsed="false">
      <c r="A25" s="22" t="str">
        <f aca="false">NHÂN_VẬT!$A$16</f>
        <v>NV12</v>
      </c>
      <c r="B25" s="22" t="str">
        <f aca="false">IF(NHÂN_VẬT!$B$16="","",NHÂN_VẬT!$B$16)</f>
        <v/>
      </c>
      <c r="C25" s="17" t="s">
        <v>438</v>
      </c>
      <c r="D25" s="21"/>
      <c r="E25" s="21"/>
      <c r="F25" s="21"/>
      <c r="G25" s="21"/>
      <c r="H25" s="21"/>
      <c r="I25" s="21"/>
    </row>
    <row r="26" customFormat="false" ht="15" hidden="false" customHeight="true" outlineLevel="0" collapsed="false">
      <c r="A26" s="22" t="str">
        <f aca="false">NHÂN_VẬT!$A$16</f>
        <v>NV12</v>
      </c>
      <c r="B26" s="22" t="str">
        <f aca="false">IF(NHÂN_VẬT!$B$16="","",NHÂN_VẬT!$B$16)</f>
        <v/>
      </c>
      <c r="C26" s="17" t="s">
        <v>444</v>
      </c>
      <c r="D26" s="21"/>
      <c r="E26" s="21"/>
      <c r="F26" s="21"/>
      <c r="G26" s="21"/>
      <c r="H26" s="21"/>
      <c r="I26" s="21"/>
    </row>
    <row r="27" customFormat="false" ht="15" hidden="false" customHeight="true" outlineLevel="0" collapsed="false">
      <c r="A27" s="22" t="str">
        <f aca="false">NHÂN_VẬT!$A$17</f>
        <v>NV13</v>
      </c>
      <c r="B27" s="22" t="str">
        <f aca="false">IF(NHÂN_VẬT!$B$17="","",NHÂN_VẬT!$B$17)</f>
        <v/>
      </c>
      <c r="C27" s="17" t="s">
        <v>438</v>
      </c>
      <c r="D27" s="21"/>
      <c r="E27" s="21"/>
      <c r="F27" s="21"/>
      <c r="G27" s="21"/>
      <c r="H27" s="21"/>
      <c r="I27" s="21"/>
    </row>
    <row r="28" customFormat="false" ht="15" hidden="false" customHeight="true" outlineLevel="0" collapsed="false">
      <c r="A28" s="22" t="str">
        <f aca="false">NHÂN_VẬT!$A$17</f>
        <v>NV13</v>
      </c>
      <c r="B28" s="22" t="str">
        <f aca="false">IF(NHÂN_VẬT!$B$17="","",NHÂN_VẬT!$B$17)</f>
        <v/>
      </c>
      <c r="C28" s="17" t="s">
        <v>444</v>
      </c>
      <c r="D28" s="21"/>
      <c r="E28" s="21"/>
      <c r="F28" s="21"/>
      <c r="G28" s="21"/>
      <c r="H28" s="21"/>
      <c r="I28" s="21"/>
    </row>
    <row r="29" customFormat="false" ht="15" hidden="false" customHeight="true" outlineLevel="0" collapsed="false">
      <c r="A29" s="22" t="str">
        <f aca="false">NHÂN_VẬT!$A$18</f>
        <v>NV14</v>
      </c>
      <c r="B29" s="22" t="str">
        <f aca="false">IF(NHÂN_VẬT!$B$18="","",NHÂN_VẬT!$B$18)</f>
        <v/>
      </c>
      <c r="C29" s="17" t="s">
        <v>438</v>
      </c>
      <c r="D29" s="21"/>
      <c r="E29" s="21"/>
      <c r="F29" s="21"/>
      <c r="G29" s="21"/>
      <c r="H29" s="21"/>
      <c r="I29" s="21"/>
    </row>
    <row r="30" customFormat="false" ht="15" hidden="false" customHeight="true" outlineLevel="0" collapsed="false">
      <c r="A30" s="22" t="str">
        <f aca="false">NHÂN_VẬT!$A$18</f>
        <v>NV14</v>
      </c>
      <c r="B30" s="22" t="str">
        <f aca="false">IF(NHÂN_VẬT!$B$18="","",NHÂN_VẬT!$B$18)</f>
        <v/>
      </c>
      <c r="C30" s="17" t="s">
        <v>444</v>
      </c>
      <c r="D30" s="21"/>
      <c r="E30" s="21"/>
      <c r="F30" s="21"/>
      <c r="G30" s="21"/>
      <c r="H30" s="21"/>
      <c r="I30" s="21"/>
    </row>
    <row r="31" customFormat="false" ht="15" hidden="false" customHeight="true" outlineLevel="0" collapsed="false">
      <c r="A31" s="22" t="str">
        <f aca="false">NHÂN_VẬT!$A$19</f>
        <v>NV15</v>
      </c>
      <c r="B31" s="22" t="str">
        <f aca="false">IF(NHÂN_VẬT!$B$19="","",NHÂN_VẬT!$B$19)</f>
        <v/>
      </c>
      <c r="C31" s="17" t="s">
        <v>438</v>
      </c>
      <c r="D31" s="21"/>
      <c r="E31" s="21"/>
      <c r="F31" s="21"/>
      <c r="G31" s="21"/>
      <c r="H31" s="21"/>
      <c r="I31" s="21"/>
    </row>
    <row r="32" customFormat="false" ht="15" hidden="false" customHeight="true" outlineLevel="0" collapsed="false">
      <c r="A32" s="22" t="str">
        <f aca="false">NHÂN_VẬT!$A$19</f>
        <v>NV15</v>
      </c>
      <c r="B32" s="22" t="str">
        <f aca="false">IF(NHÂN_VẬT!$B$19="","",NHÂN_VẬT!$B$19)</f>
        <v/>
      </c>
      <c r="C32" s="17" t="s">
        <v>444</v>
      </c>
      <c r="D32" s="21"/>
      <c r="E32" s="21"/>
      <c r="F32" s="21"/>
      <c r="G32" s="21"/>
      <c r="H32" s="21"/>
      <c r="I32" s="21"/>
    </row>
    <row r="33" customFormat="false" ht="15" hidden="false" customHeight="true" outlineLevel="0" collapsed="false">
      <c r="A33" s="22" t="str">
        <f aca="false">NHÂN_VẬT!$A$20</f>
        <v>NV16</v>
      </c>
      <c r="B33" s="22" t="str">
        <f aca="false">IF(NHÂN_VẬT!$B$20="","",NHÂN_VẬT!$B$20)</f>
        <v/>
      </c>
      <c r="C33" s="17" t="s">
        <v>438</v>
      </c>
      <c r="D33" s="21"/>
      <c r="E33" s="21"/>
      <c r="F33" s="21"/>
      <c r="G33" s="21"/>
      <c r="H33" s="21"/>
      <c r="I33" s="21"/>
    </row>
    <row r="34" customFormat="false" ht="15" hidden="false" customHeight="true" outlineLevel="0" collapsed="false">
      <c r="A34" s="22" t="str">
        <f aca="false">NHÂN_VẬT!$A$20</f>
        <v>NV16</v>
      </c>
      <c r="B34" s="22" t="str">
        <f aca="false">IF(NHÂN_VẬT!$B$20="","",NHÂN_VẬT!$B$20)</f>
        <v/>
      </c>
      <c r="C34" s="17" t="s">
        <v>444</v>
      </c>
      <c r="D34" s="21"/>
      <c r="E34" s="21"/>
      <c r="F34" s="21"/>
      <c r="G34" s="21"/>
      <c r="H34" s="21"/>
      <c r="I34" s="21"/>
    </row>
    <row r="35" customFormat="false" ht="15" hidden="false" customHeight="true" outlineLevel="0" collapsed="false">
      <c r="A35" s="22" t="str">
        <f aca="false">NHÂN_VẬT!$A$21</f>
        <v>NV17</v>
      </c>
      <c r="B35" s="22" t="str">
        <f aca="false">IF(NHÂN_VẬT!$B$21="","",NHÂN_VẬT!$B$21)</f>
        <v/>
      </c>
      <c r="C35" s="17" t="s">
        <v>438</v>
      </c>
      <c r="D35" s="21"/>
      <c r="E35" s="21"/>
      <c r="F35" s="21"/>
      <c r="G35" s="21"/>
      <c r="H35" s="21"/>
      <c r="I35" s="21"/>
    </row>
    <row r="36" customFormat="false" ht="15" hidden="false" customHeight="true" outlineLevel="0" collapsed="false">
      <c r="A36" s="22" t="str">
        <f aca="false">NHÂN_VẬT!$A$21</f>
        <v>NV17</v>
      </c>
      <c r="B36" s="22" t="str">
        <f aca="false">IF(NHÂN_VẬT!$B$21="","",NHÂN_VẬT!$B$21)</f>
        <v/>
      </c>
      <c r="C36" s="17" t="s">
        <v>444</v>
      </c>
      <c r="D36" s="21"/>
      <c r="E36" s="21"/>
      <c r="F36" s="21"/>
      <c r="G36" s="21"/>
      <c r="H36" s="21"/>
      <c r="I36" s="21"/>
    </row>
    <row r="37" customFormat="false" ht="15" hidden="false" customHeight="true" outlineLevel="0" collapsed="false">
      <c r="A37" s="22" t="str">
        <f aca="false">NHÂN_VẬT!$A$22</f>
        <v>NV18</v>
      </c>
      <c r="B37" s="22" t="str">
        <f aca="false">IF(NHÂN_VẬT!$B$22="","",NHÂN_VẬT!$B$22)</f>
        <v/>
      </c>
      <c r="C37" s="17" t="s">
        <v>438</v>
      </c>
      <c r="D37" s="21"/>
      <c r="E37" s="21"/>
      <c r="F37" s="21"/>
      <c r="G37" s="21"/>
      <c r="H37" s="21"/>
      <c r="I37" s="21"/>
    </row>
    <row r="38" customFormat="false" ht="15" hidden="false" customHeight="true" outlineLevel="0" collapsed="false">
      <c r="A38" s="22" t="str">
        <f aca="false">NHÂN_VẬT!$A$22</f>
        <v>NV18</v>
      </c>
      <c r="B38" s="22" t="str">
        <f aca="false">IF(NHÂN_VẬT!$B$22="","",NHÂN_VẬT!$B$22)</f>
        <v/>
      </c>
      <c r="C38" s="17" t="s">
        <v>444</v>
      </c>
      <c r="D38" s="21"/>
      <c r="E38" s="21"/>
      <c r="F38" s="21"/>
      <c r="G38" s="21"/>
      <c r="H38" s="21"/>
      <c r="I38" s="21"/>
    </row>
    <row r="39" customFormat="false" ht="15" hidden="false" customHeight="true" outlineLevel="0" collapsed="false">
      <c r="A39" s="22" t="str">
        <f aca="false">NHÂN_VẬT!$A$23</f>
        <v>NV19</v>
      </c>
      <c r="B39" s="22" t="str">
        <f aca="false">IF(NHÂN_VẬT!$B$23="","",NHÂN_VẬT!$B$23)</f>
        <v/>
      </c>
      <c r="C39" s="17" t="s">
        <v>438</v>
      </c>
      <c r="D39" s="21"/>
      <c r="E39" s="21"/>
      <c r="F39" s="21"/>
      <c r="G39" s="21"/>
      <c r="H39" s="21"/>
      <c r="I39" s="21"/>
    </row>
    <row r="40" customFormat="false" ht="15" hidden="false" customHeight="true" outlineLevel="0" collapsed="false">
      <c r="A40" s="22" t="str">
        <f aca="false">NHÂN_VẬT!$A$23</f>
        <v>NV19</v>
      </c>
      <c r="B40" s="22" t="str">
        <f aca="false">IF(NHÂN_VẬT!$B$23="","",NHÂN_VẬT!$B$23)</f>
        <v/>
      </c>
      <c r="C40" s="17" t="s">
        <v>444</v>
      </c>
      <c r="D40" s="21"/>
      <c r="E40" s="21"/>
      <c r="F40" s="21"/>
      <c r="G40" s="21"/>
      <c r="H40" s="21"/>
      <c r="I40" s="21"/>
    </row>
    <row r="41" customFormat="false" ht="15" hidden="false" customHeight="true" outlineLevel="0" collapsed="false">
      <c r="A41" s="22" t="str">
        <f aca="false">NHÂN_VẬT!$A$24</f>
        <v>NV20</v>
      </c>
      <c r="B41" s="22" t="str">
        <f aca="false">IF(NHÂN_VẬT!$B$24="","",NHÂN_VẬT!$B$24)</f>
        <v/>
      </c>
      <c r="C41" s="17" t="s">
        <v>438</v>
      </c>
      <c r="D41" s="21"/>
      <c r="E41" s="21"/>
      <c r="F41" s="21"/>
      <c r="G41" s="21"/>
      <c r="H41" s="21"/>
      <c r="I41" s="21"/>
    </row>
    <row r="42" customFormat="false" ht="15" hidden="false" customHeight="true" outlineLevel="0" collapsed="false">
      <c r="A42" s="22" t="str">
        <f aca="false">NHÂN_VẬT!$A$24</f>
        <v>NV20</v>
      </c>
      <c r="B42" s="22" t="str">
        <f aca="false">IF(NHÂN_VẬT!$B$24="","",NHÂN_VẬT!$B$24)</f>
        <v/>
      </c>
      <c r="C42" s="17" t="s">
        <v>444</v>
      </c>
      <c r="D42" s="21"/>
      <c r="E42" s="21"/>
      <c r="F42" s="21"/>
      <c r="G42" s="21"/>
      <c r="H42" s="21"/>
      <c r="I42" s="21"/>
    </row>
    <row r="43" customFormat="false" ht="15" hidden="false" customHeight="true" outlineLevel="0" collapsed="false">
      <c r="A43" s="22" t="str">
        <f aca="false">NHÂN_VẬT!$A$25</f>
        <v>NV21</v>
      </c>
      <c r="B43" s="22" t="str">
        <f aca="false">IF(NHÂN_VẬT!$B$25="","",NHÂN_VẬT!$B$25)</f>
        <v/>
      </c>
      <c r="C43" s="17" t="s">
        <v>438</v>
      </c>
      <c r="D43" s="21"/>
      <c r="E43" s="21"/>
      <c r="F43" s="21"/>
      <c r="G43" s="21"/>
      <c r="H43" s="21"/>
      <c r="I43" s="21"/>
    </row>
    <row r="44" customFormat="false" ht="15" hidden="false" customHeight="true" outlineLevel="0" collapsed="false">
      <c r="A44" s="22" t="str">
        <f aca="false">NHÂN_VẬT!$A$25</f>
        <v>NV21</v>
      </c>
      <c r="B44" s="22" t="str">
        <f aca="false">IF(NHÂN_VẬT!$B$25="","",NHÂN_VẬT!$B$25)</f>
        <v/>
      </c>
      <c r="C44" s="17" t="s">
        <v>444</v>
      </c>
      <c r="D44" s="21"/>
      <c r="E44" s="21"/>
      <c r="F44" s="21"/>
      <c r="G44" s="21"/>
      <c r="H44" s="21"/>
      <c r="I44" s="21"/>
    </row>
    <row r="45" customFormat="false" ht="15" hidden="false" customHeight="true" outlineLevel="0" collapsed="false">
      <c r="A45" s="22" t="str">
        <f aca="false">NHÂN_VẬT!$A$26</f>
        <v>NV22</v>
      </c>
      <c r="B45" s="22" t="str">
        <f aca="false">IF(NHÂN_VẬT!$B$26="","",NHÂN_VẬT!$B$26)</f>
        <v/>
      </c>
      <c r="C45" s="17" t="s">
        <v>438</v>
      </c>
      <c r="D45" s="21"/>
      <c r="E45" s="21"/>
      <c r="F45" s="21"/>
      <c r="G45" s="21"/>
      <c r="H45" s="21"/>
      <c r="I45" s="21"/>
    </row>
    <row r="46" customFormat="false" ht="15" hidden="false" customHeight="true" outlineLevel="0" collapsed="false">
      <c r="A46" s="22" t="str">
        <f aca="false">NHÂN_VẬT!$A$26</f>
        <v>NV22</v>
      </c>
      <c r="B46" s="22" t="str">
        <f aca="false">IF(NHÂN_VẬT!$B$26="","",NHÂN_VẬT!$B$26)</f>
        <v/>
      </c>
      <c r="C46" s="17" t="s">
        <v>444</v>
      </c>
      <c r="D46" s="21"/>
      <c r="E46" s="21"/>
      <c r="F46" s="21"/>
      <c r="G46" s="21"/>
      <c r="H46" s="21"/>
      <c r="I46" s="21"/>
    </row>
    <row r="47" customFormat="false" ht="15" hidden="false" customHeight="true" outlineLevel="0" collapsed="false">
      <c r="A47" s="22" t="str">
        <f aca="false">NHÂN_VẬT!$A$27</f>
        <v>NV23</v>
      </c>
      <c r="B47" s="22" t="str">
        <f aca="false">IF(NHÂN_VẬT!$B$27="","",NHÂN_VẬT!$B$27)</f>
        <v/>
      </c>
      <c r="C47" s="17" t="s">
        <v>438</v>
      </c>
      <c r="D47" s="21"/>
      <c r="E47" s="21"/>
      <c r="F47" s="21"/>
      <c r="G47" s="21"/>
      <c r="H47" s="21"/>
      <c r="I47" s="21"/>
    </row>
    <row r="48" customFormat="false" ht="15" hidden="false" customHeight="true" outlineLevel="0" collapsed="false">
      <c r="A48" s="22" t="str">
        <f aca="false">NHÂN_VẬT!$A$27</f>
        <v>NV23</v>
      </c>
      <c r="B48" s="22" t="str">
        <f aca="false">IF(NHÂN_VẬT!$B$27="","",NHÂN_VẬT!$B$27)</f>
        <v/>
      </c>
      <c r="C48" s="17" t="s">
        <v>444</v>
      </c>
      <c r="D48" s="21"/>
      <c r="E48" s="21"/>
      <c r="F48" s="21"/>
      <c r="G48" s="21"/>
      <c r="H48" s="21"/>
      <c r="I48" s="21"/>
    </row>
    <row r="49" customFormat="false" ht="15" hidden="false" customHeight="true" outlineLevel="0" collapsed="false">
      <c r="A49" s="22" t="str">
        <f aca="false">NHÂN_VẬT!$A$28</f>
        <v>NV24</v>
      </c>
      <c r="B49" s="22" t="str">
        <f aca="false">IF(NHÂN_VẬT!$B$28="","",NHÂN_VẬT!$B$28)</f>
        <v/>
      </c>
      <c r="C49" s="17" t="s">
        <v>438</v>
      </c>
      <c r="D49" s="21"/>
      <c r="E49" s="21"/>
      <c r="F49" s="21"/>
      <c r="G49" s="21"/>
      <c r="H49" s="21"/>
      <c r="I49" s="21"/>
    </row>
    <row r="50" customFormat="false" ht="15" hidden="false" customHeight="true" outlineLevel="0" collapsed="false">
      <c r="A50" s="22" t="str">
        <f aca="false">NHÂN_VẬT!$A$28</f>
        <v>NV24</v>
      </c>
      <c r="B50" s="22" t="str">
        <f aca="false">IF(NHÂN_VẬT!$B$28="","",NHÂN_VẬT!$B$28)</f>
        <v/>
      </c>
      <c r="C50" s="17" t="s">
        <v>444</v>
      </c>
      <c r="D50" s="21"/>
      <c r="E50" s="21"/>
      <c r="F50" s="21"/>
      <c r="G50" s="21"/>
      <c r="H50" s="21"/>
      <c r="I50" s="21"/>
    </row>
    <row r="51" customFormat="false" ht="15" hidden="false" customHeight="true" outlineLevel="0" collapsed="false">
      <c r="A51" s="22" t="str">
        <f aca="false">NHÂN_VẬT!$A$29</f>
        <v>NV25</v>
      </c>
      <c r="B51" s="22" t="str">
        <f aca="false">IF(NHÂN_VẬT!$B$29="","",NHÂN_VẬT!$B$29)</f>
        <v/>
      </c>
      <c r="C51" s="17" t="s">
        <v>438</v>
      </c>
      <c r="D51" s="21"/>
      <c r="E51" s="21"/>
      <c r="F51" s="21"/>
      <c r="G51" s="21"/>
      <c r="H51" s="21"/>
      <c r="I51" s="21"/>
    </row>
    <row r="52" customFormat="false" ht="15" hidden="false" customHeight="true" outlineLevel="0" collapsed="false">
      <c r="A52" s="22" t="str">
        <f aca="false">NHÂN_VẬT!$A$29</f>
        <v>NV25</v>
      </c>
      <c r="B52" s="22" t="str">
        <f aca="false">IF(NHÂN_VẬT!$B$29="","",NHÂN_VẬT!$B$29)</f>
        <v/>
      </c>
      <c r="C52" s="17" t="s">
        <v>444</v>
      </c>
      <c r="D52" s="21"/>
      <c r="E52" s="21"/>
      <c r="F52" s="21"/>
      <c r="G52" s="21"/>
      <c r="H52" s="21"/>
      <c r="I52" s="21"/>
    </row>
    <row r="53" customFormat="false" ht="15" hidden="false" customHeight="true" outlineLevel="0" collapsed="false">
      <c r="A53" s="22" t="str">
        <f aca="false">NHÂN_VẬT!$A$30</f>
        <v>NV26</v>
      </c>
      <c r="B53" s="22" t="str">
        <f aca="false">IF(NHÂN_VẬT!$B$30="","",NHÂN_VẬT!$B$30)</f>
        <v/>
      </c>
      <c r="C53" s="17" t="s">
        <v>438</v>
      </c>
      <c r="D53" s="21"/>
      <c r="E53" s="21"/>
      <c r="F53" s="21"/>
      <c r="G53" s="21"/>
      <c r="H53" s="21"/>
      <c r="I53" s="21"/>
    </row>
    <row r="54" customFormat="false" ht="15" hidden="false" customHeight="true" outlineLevel="0" collapsed="false">
      <c r="A54" s="22" t="str">
        <f aca="false">NHÂN_VẬT!$A$30</f>
        <v>NV26</v>
      </c>
      <c r="B54" s="22" t="str">
        <f aca="false">IF(NHÂN_VẬT!$B$30="","",NHÂN_VẬT!$B$30)</f>
        <v/>
      </c>
      <c r="C54" s="17" t="s">
        <v>444</v>
      </c>
      <c r="D54" s="21"/>
      <c r="E54" s="21"/>
      <c r="F54" s="21"/>
      <c r="G54" s="21"/>
      <c r="H54" s="21"/>
      <c r="I54" s="21"/>
    </row>
    <row r="55" customFormat="false" ht="15" hidden="false" customHeight="true" outlineLevel="0" collapsed="false">
      <c r="A55" s="22" t="str">
        <f aca="false">NHÂN_VẬT!$A$31</f>
        <v>NV27</v>
      </c>
      <c r="B55" s="22" t="str">
        <f aca="false">IF(NHÂN_VẬT!$B$31="","",NHÂN_VẬT!$B$31)</f>
        <v/>
      </c>
      <c r="C55" s="17" t="s">
        <v>438</v>
      </c>
      <c r="D55" s="21"/>
      <c r="E55" s="21"/>
      <c r="F55" s="21"/>
      <c r="G55" s="21"/>
      <c r="H55" s="21"/>
      <c r="I55" s="21"/>
    </row>
    <row r="56" customFormat="false" ht="15" hidden="false" customHeight="true" outlineLevel="0" collapsed="false">
      <c r="A56" s="22" t="str">
        <f aca="false">NHÂN_VẬT!$A$31</f>
        <v>NV27</v>
      </c>
      <c r="B56" s="22" t="str">
        <f aca="false">IF(NHÂN_VẬT!$B$31="","",NHÂN_VẬT!$B$31)</f>
        <v/>
      </c>
      <c r="C56" s="17" t="s">
        <v>444</v>
      </c>
      <c r="D56" s="21"/>
      <c r="E56" s="21"/>
      <c r="F56" s="21"/>
      <c r="G56" s="21"/>
      <c r="H56" s="21"/>
      <c r="I56" s="21"/>
    </row>
    <row r="57" customFormat="false" ht="15" hidden="false" customHeight="true" outlineLevel="0" collapsed="false">
      <c r="A57" s="22" t="str">
        <f aca="false">NHÂN_VẬT!$A$32</f>
        <v>NV28</v>
      </c>
      <c r="B57" s="22" t="str">
        <f aca="false">IF(NHÂN_VẬT!$B$32="","",NHÂN_VẬT!$B$32)</f>
        <v/>
      </c>
      <c r="C57" s="17" t="s">
        <v>438</v>
      </c>
      <c r="D57" s="21"/>
      <c r="E57" s="21"/>
      <c r="F57" s="21"/>
      <c r="G57" s="21"/>
      <c r="H57" s="21"/>
      <c r="I57" s="21"/>
    </row>
    <row r="58" customFormat="false" ht="15" hidden="false" customHeight="true" outlineLevel="0" collapsed="false">
      <c r="A58" s="22" t="str">
        <f aca="false">NHÂN_VẬT!$A$32</f>
        <v>NV28</v>
      </c>
      <c r="B58" s="22" t="str">
        <f aca="false">IF(NHÂN_VẬT!$B$32="","",NHÂN_VẬT!$B$32)</f>
        <v/>
      </c>
      <c r="C58" s="17" t="s">
        <v>444</v>
      </c>
      <c r="D58" s="21"/>
      <c r="E58" s="21"/>
      <c r="F58" s="21"/>
      <c r="G58" s="21"/>
      <c r="H58" s="21"/>
      <c r="I58" s="21"/>
    </row>
    <row r="59" customFormat="false" ht="15" hidden="false" customHeight="true" outlineLevel="0" collapsed="false">
      <c r="A59" s="22" t="str">
        <f aca="false">NHÂN_VẬT!$A$33</f>
        <v>NV29</v>
      </c>
      <c r="B59" s="22" t="str">
        <f aca="false">IF(NHÂN_VẬT!$B$33="","",NHÂN_VẬT!$B$33)</f>
        <v/>
      </c>
      <c r="C59" s="17" t="s">
        <v>438</v>
      </c>
      <c r="D59" s="21"/>
      <c r="E59" s="21"/>
      <c r="F59" s="21"/>
      <c r="G59" s="21"/>
      <c r="H59" s="21"/>
      <c r="I59" s="21"/>
    </row>
    <row r="60" customFormat="false" ht="15" hidden="false" customHeight="true" outlineLevel="0" collapsed="false">
      <c r="A60" s="22" t="str">
        <f aca="false">NHÂN_VẬT!$A$33</f>
        <v>NV29</v>
      </c>
      <c r="B60" s="22" t="str">
        <f aca="false">IF(NHÂN_VẬT!$B$33="","",NHÂN_VẬT!$B$33)</f>
        <v/>
      </c>
      <c r="C60" s="17" t="s">
        <v>444</v>
      </c>
      <c r="D60" s="21"/>
      <c r="E60" s="21"/>
      <c r="F60" s="21"/>
      <c r="G60" s="21"/>
      <c r="H60" s="21"/>
      <c r="I60" s="21"/>
    </row>
    <row r="61" customFormat="false" ht="15" hidden="false" customHeight="true" outlineLevel="0" collapsed="false">
      <c r="A61" s="22" t="str">
        <f aca="false">NHÂN_VẬT!$A$34</f>
        <v>NV30</v>
      </c>
      <c r="B61" s="22" t="str">
        <f aca="false">IF(NHÂN_VẬT!$B$34="","",NHÂN_VẬT!$B$34)</f>
        <v/>
      </c>
      <c r="C61" s="17" t="s">
        <v>438</v>
      </c>
      <c r="D61" s="21"/>
      <c r="E61" s="21"/>
      <c r="F61" s="21"/>
      <c r="G61" s="21"/>
      <c r="H61" s="21"/>
      <c r="I61" s="21"/>
    </row>
    <row r="62" customFormat="false" ht="15" hidden="false" customHeight="true" outlineLevel="0" collapsed="false">
      <c r="A62" s="22" t="str">
        <f aca="false">NHÂN_VẬT!$A$34</f>
        <v>NV30</v>
      </c>
      <c r="B62" s="22" t="str">
        <f aca="false">IF(NHÂN_VẬT!$B$34="","",NHÂN_VẬT!$B$34)</f>
        <v/>
      </c>
      <c r="C62" s="17" t="s">
        <v>444</v>
      </c>
      <c r="D62" s="21"/>
      <c r="E62" s="21"/>
      <c r="F62" s="21"/>
      <c r="G62" s="21"/>
      <c r="H62" s="21"/>
      <c r="I62"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17" activePane="bottomRight" state="frozen"/>
      <selection pane="topLeft" activeCell="A1" activeCellId="0" sqref="A1"/>
      <selection pane="topRight" activeCell="C1" activeCellId="0" sqref="C1"/>
      <selection pane="bottomLeft" activeCell="A17" activeCellId="0" sqref="A17"/>
      <selection pane="bottomRight" activeCell="A1" activeCellId="0" sqref="A1"/>
    </sheetView>
  </sheetViews>
  <sheetFormatPr defaultColWidth="8.714843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10"/>
    <col collapsed="false" customWidth="true" hidden="false" outlineLevel="0" max="4" min="4" style="1" width="26"/>
    <col collapsed="false" customWidth="true" hidden="false" outlineLevel="0" max="5" min="5" style="1" width="14"/>
    <col collapsed="false" customWidth="true" hidden="false" outlineLevel="0" max="6" min="6" style="1" width="16"/>
    <col collapsed="false" customWidth="true" hidden="false" outlineLevel="0" max="7" min="7" style="1" width="30"/>
    <col collapsed="false" customWidth="true" hidden="false" outlineLevel="0" max="10" min="8" style="1" width="9"/>
    <col collapsed="false" customWidth="true" hidden="false" outlineLevel="0" max="11" min="11" style="1" width="26"/>
    <col collapsed="false" customWidth="true" hidden="false" outlineLevel="0" max="14" min="12" style="1" width="10"/>
    <col collapsed="false" customWidth="true" hidden="false" outlineLevel="0" max="17" min="15" style="1" width="9"/>
    <col collapsed="false" customWidth="true" hidden="false" outlineLevel="0" max="18" min="18" style="1" width="10"/>
    <col collapsed="false" customWidth="true" hidden="false" outlineLevel="0" max="19" min="19" style="1" width="18"/>
    <col collapsed="false" customWidth="true" hidden="false" outlineLevel="0" max="22" min="20" style="1" width="11"/>
    <col collapsed="false" customWidth="true" hidden="false" outlineLevel="0" max="23" min="23" style="1" width="46"/>
  </cols>
  <sheetData>
    <row r="1" customFormat="false" ht="18" hidden="false" customHeight="true" outlineLevel="0" collapsed="false">
      <c r="A1" s="2" t="s">
        <v>508</v>
      </c>
    </row>
    <row r="2" customFormat="false" ht="15" hidden="false" customHeight="true" outlineLevel="0" collapsed="false">
      <c r="A2" s="9" t="s">
        <v>509</v>
      </c>
    </row>
    <row r="4" customFormat="false" ht="54" hidden="false" customHeight="true" outlineLevel="0" collapsed="false">
      <c r="A4" s="10" t="s">
        <v>323</v>
      </c>
      <c r="B4" s="10" t="s">
        <v>324</v>
      </c>
      <c r="C4" s="10" t="s">
        <v>510</v>
      </c>
      <c r="D4" s="10" t="s">
        <v>511</v>
      </c>
      <c r="E4" s="10" t="s">
        <v>512</v>
      </c>
      <c r="F4" s="10" t="s">
        <v>513</v>
      </c>
      <c r="G4" s="10" t="s">
        <v>514</v>
      </c>
      <c r="H4" s="10" t="s">
        <v>515</v>
      </c>
      <c r="I4" s="10" t="s">
        <v>516</v>
      </c>
      <c r="J4" s="10" t="s">
        <v>517</v>
      </c>
      <c r="K4" s="10" t="s">
        <v>518</v>
      </c>
      <c r="L4" s="10" t="s">
        <v>519</v>
      </c>
      <c r="M4" s="10" t="s">
        <v>520</v>
      </c>
      <c r="N4" s="10" t="s">
        <v>521</v>
      </c>
      <c r="O4" s="10" t="s">
        <v>522</v>
      </c>
      <c r="P4" s="10" t="s">
        <v>523</v>
      </c>
      <c r="Q4" s="10" t="s">
        <v>524</v>
      </c>
      <c r="R4" s="10" t="s">
        <v>525</v>
      </c>
      <c r="S4" s="10" t="s">
        <v>526</v>
      </c>
      <c r="T4" s="10" t="s">
        <v>527</v>
      </c>
      <c r="U4" s="10" t="s">
        <v>528</v>
      </c>
      <c r="V4" s="10" t="s">
        <v>529</v>
      </c>
      <c r="W4" s="10" t="s">
        <v>57</v>
      </c>
    </row>
    <row r="5" customFormat="false" ht="15" hidden="false" customHeight="true" outlineLevel="0" collapsed="false">
      <c r="A5" s="21" t="s">
        <v>330</v>
      </c>
      <c r="B5" s="22" t="str">
        <f aca="false">IF(A5="","",IFERROR(IF(INDEX(NHÂN_VẬT!$B$6:$B$34,MATCH(A5,NHÂN_VẬT!$A$6:$A$34,0))="","",INDEX(NHÂN_VẬT!$B$6:$B$34,MATCH(A5,NHÂN_VẬT!$A$6:$A$34,0))),"mã không có"))</f>
        <v>HCM-THỦ KHO HIẾU</v>
      </c>
      <c r="C5" s="21" t="s">
        <v>438</v>
      </c>
      <c r="D5" s="21" t="s">
        <v>530</v>
      </c>
      <c r="E5" s="21" t="s">
        <v>418</v>
      </c>
      <c r="F5" s="21" t="s">
        <v>131</v>
      </c>
      <c r="G5" s="21" t="s">
        <v>531</v>
      </c>
      <c r="H5" s="21" t="n">
        <v>1</v>
      </c>
      <c r="I5" s="21" t="n">
        <v>1</v>
      </c>
      <c r="J5" s="21" t="n">
        <v>1</v>
      </c>
      <c r="K5" s="21" t="s">
        <v>532</v>
      </c>
      <c r="L5" s="24" t="n">
        <v>0.1</v>
      </c>
      <c r="M5" s="24" t="n">
        <v>0.12</v>
      </c>
      <c r="N5" s="24" t="n">
        <v>0.15</v>
      </c>
      <c r="O5" s="25"/>
      <c r="P5" s="25"/>
      <c r="Q5" s="25"/>
      <c r="R5" s="21" t="n">
        <v>2</v>
      </c>
      <c r="S5" s="21"/>
      <c r="T5" s="32" t="n">
        <f aca="false">IF(L5="","",IF(K5="× Công của người xả",L5*MAX(1,N(H5))/2*100,IF(OR(K5="% máu tối đa của người xả",K5="% máu tối đa của người nhận"),L5*500,"")))</f>
        <v>50</v>
      </c>
      <c r="U5" s="32" t="n">
        <f aca="false">IF(M5="","",IF(K5="× Công của người xả",M5*MAX(1,N(I5))/2*100,IF(OR(K5="% máu tối đa của người xả",K5="% máu tối đa của người nhận"),M5*500,"")))</f>
        <v>60</v>
      </c>
      <c r="V5" s="32" t="n">
        <f aca="false">IF(N5="","",IF(K5="× Công của người xả",N5*MAX(1,N(J5))/2*100,IF(OR(K5="% máu tối đa của người xả",K5="% máu tối đa của người nhận"),N5*500,"")))</f>
        <v>75</v>
      </c>
      <c r="W5" s="21" t="s">
        <v>533</v>
      </c>
    </row>
    <row r="6" customFormat="false" ht="25.5" hidden="false" customHeight="true" outlineLevel="0" collapsed="false">
      <c r="A6" s="21" t="s">
        <v>330</v>
      </c>
      <c r="B6" s="22" t="str">
        <f aca="false">IF(A6="","",IFERROR(IF(INDEX(NHÂN_VẬT!$B$6:$B$34,MATCH(A6,NHÂN_VẬT!$A$6:$A$34,0))="","",INDEX(NHÂN_VẬT!$B$6:$B$34,MATCH(A6,NHÂN_VẬT!$A$6:$A$34,0))),"mã không có"))</f>
        <v>HCM-THỦ KHO HIẾU</v>
      </c>
      <c r="C6" s="21" t="s">
        <v>444</v>
      </c>
      <c r="D6" s="21" t="s">
        <v>534</v>
      </c>
      <c r="E6" s="21" t="s">
        <v>421</v>
      </c>
      <c r="F6" s="21" t="s">
        <v>129</v>
      </c>
      <c r="G6" s="21" t="s">
        <v>531</v>
      </c>
      <c r="H6" s="21"/>
      <c r="I6" s="21"/>
      <c r="J6" s="21"/>
      <c r="K6" s="21" t="s">
        <v>535</v>
      </c>
      <c r="L6" s="21"/>
      <c r="M6" s="21"/>
      <c r="N6" s="24" t="n">
        <v>0.01</v>
      </c>
      <c r="O6" s="25"/>
      <c r="P6" s="25"/>
      <c r="Q6" s="25"/>
      <c r="R6" s="21"/>
      <c r="S6" s="21"/>
      <c r="T6" s="32" t="str">
        <f aca="false">IF(L6="","",IF(K6="× Công của người xả",L6*MAX(1,N(H6))/2*100,IF(OR(K6="% máu tối đa của người xả",K6="% máu tối đa của người nhận"),L6*500,"")))</f>
        <v/>
      </c>
      <c r="U6" s="32" t="str">
        <f aca="false">IF(M6="","",IF(K6="× Công của người xả",M6*MAX(1,N(I6))/2*100,IF(OR(K6="% máu tối đa của người xả",K6="% máu tối đa của người nhận"),M6*500,"")))</f>
        <v/>
      </c>
      <c r="V6" s="32" t="n">
        <f aca="false">IF(N6="","",IF(K6="× Công của người xả",N6*MAX(1,N(J6))/2*100,IF(OR(K6="% máu tối đa của người xả",K6="% máu tối đa của người nhận"),N6*500,"")))</f>
        <v>5</v>
      </c>
      <c r="W6" s="21" t="s">
        <v>536</v>
      </c>
    </row>
    <row r="7" customFormat="false" ht="25.5" hidden="false" customHeight="true" outlineLevel="0" collapsed="false">
      <c r="A7" s="21" t="s">
        <v>335</v>
      </c>
      <c r="B7" s="22" t="str">
        <f aca="false">IF(A7="","",IFERROR(IF(INDEX(NHÂN_VẬT!$B$6:$B$34,MATCH(A7,NHÂN_VẬT!$A$6:$A$34,0))="","",INDEX(NHÂN_VẬT!$B$6:$B$34,MATCH(A7,NHÂN_VẬT!$A$6:$A$34,0))),"mã không có"))</f>
        <v>HN-PHỤ KHO HƯNG</v>
      </c>
      <c r="C7" s="21" t="s">
        <v>438</v>
      </c>
      <c r="D7" s="21" t="s">
        <v>530</v>
      </c>
      <c r="E7" s="21" t="s">
        <v>418</v>
      </c>
      <c r="F7" s="21" t="s">
        <v>537</v>
      </c>
      <c r="G7" s="21" t="s">
        <v>531</v>
      </c>
      <c r="H7" s="21"/>
      <c r="I7" s="21"/>
      <c r="J7" s="21"/>
      <c r="K7" s="21"/>
      <c r="L7" s="21"/>
      <c r="M7" s="21"/>
      <c r="N7" s="21"/>
      <c r="O7" s="25" t="n">
        <v>1</v>
      </c>
      <c r="P7" s="25" t="n">
        <v>1</v>
      </c>
      <c r="Q7" s="25" t="n">
        <v>1</v>
      </c>
      <c r="R7" s="21" t="n">
        <v>1</v>
      </c>
      <c r="S7" s="21" t="s">
        <v>146</v>
      </c>
      <c r="T7" s="32" t="str">
        <f aca="false">IF(L7="","",IF(K7="× Công của người xả",L7*MAX(1,N(H7))/2*100,IF(OR(K7="% máu tối đa của người xả",K7="% máu tối đa của người nhận"),L7*500,"")))</f>
        <v/>
      </c>
      <c r="U7" s="32" t="str">
        <f aca="false">IF(M7="","",IF(K7="× Công của người xả",M7*MAX(1,N(I7))/2*100,IF(OR(K7="% máu tối đa của người xả",K7="% máu tối đa của người nhận"),M7*500,"")))</f>
        <v/>
      </c>
      <c r="V7" s="32" t="str">
        <f aca="false">IF(N7="","",IF(K7="× Công của người xả",N7*MAX(1,N(J7))/2*100,IF(OR(K7="% máu tối đa của người xả",K7="% máu tối đa của người nhận"),N7*500,"")))</f>
        <v/>
      </c>
      <c r="W7" s="21" t="s">
        <v>538</v>
      </c>
    </row>
    <row r="8" customFormat="false" ht="15" hidden="false" customHeight="true" outlineLevel="0" collapsed="false">
      <c r="A8" s="21" t="s">
        <v>335</v>
      </c>
      <c r="B8" s="22" t="str">
        <f aca="false">IF(A8="","",IFERROR(IF(INDEX(NHÂN_VẬT!$B$6:$B$34,MATCH(A8,NHÂN_VẬT!$A$6:$A$34,0))="","",INDEX(NHÂN_VẬT!$B$6:$B$34,MATCH(A8,NHÂN_VẬT!$A$6:$A$34,0))),"mã không có"))</f>
        <v>HN-PHỤ KHO HƯNG</v>
      </c>
      <c r="C8" s="21" t="s">
        <v>438</v>
      </c>
      <c r="D8" s="21" t="s">
        <v>530</v>
      </c>
      <c r="E8" s="21" t="s">
        <v>418</v>
      </c>
      <c r="F8" s="21" t="s">
        <v>131</v>
      </c>
      <c r="G8" s="21" t="s">
        <v>531</v>
      </c>
      <c r="H8" s="21" t="n">
        <v>1</v>
      </c>
      <c r="I8" s="21" t="n">
        <v>1</v>
      </c>
      <c r="J8" s="21" t="n">
        <v>1</v>
      </c>
      <c r="K8" s="21" t="s">
        <v>532</v>
      </c>
      <c r="L8" s="24" t="n">
        <v>0.07</v>
      </c>
      <c r="M8" s="24" t="n">
        <v>0.09</v>
      </c>
      <c r="N8" s="24" t="n">
        <v>0.11</v>
      </c>
      <c r="O8" s="25"/>
      <c r="P8" s="25"/>
      <c r="Q8" s="25"/>
      <c r="R8" s="21" t="n">
        <v>2</v>
      </c>
      <c r="S8" s="21"/>
      <c r="T8" s="32" t="n">
        <f aca="false">IF(L8="","",IF(K8="× Công của người xả",L8*MAX(1,N(H8))/2*100,IF(OR(K8="% máu tối đa của người xả",K8="% máu tối đa của người nhận"),L8*500,"")))</f>
        <v>35</v>
      </c>
      <c r="U8" s="32" t="n">
        <f aca="false">IF(M8="","",IF(K8="× Công của người xả",M8*MAX(1,N(I8))/2*100,IF(OR(K8="% máu tối đa của người xả",K8="% máu tối đa của người nhận"),M8*500,"")))</f>
        <v>45</v>
      </c>
      <c r="V8" s="32" t="n">
        <f aca="false">IF(N8="","",IF(K8="× Công của người xả",N8*MAX(1,N(J8))/2*100,IF(OR(K8="% máu tối đa của người xả",K8="% máu tối đa của người nhận"),N8*500,"")))</f>
        <v>55</v>
      </c>
      <c r="W8" s="21"/>
    </row>
    <row r="9" customFormat="false" ht="15" hidden="false" customHeight="true" outlineLevel="0" collapsed="false">
      <c r="A9" s="21" t="s">
        <v>335</v>
      </c>
      <c r="B9" s="22" t="str">
        <f aca="false">IF(A9="","",IFERROR(IF(INDEX(NHÂN_VẬT!$B$6:$B$34,MATCH(A9,NHÂN_VẬT!$A$6:$A$34,0))="","",INDEX(NHÂN_VẬT!$B$6:$B$34,MATCH(A9,NHÂN_VẬT!$A$6:$A$34,0))),"mã không có"))</f>
        <v>HN-PHỤ KHO HƯNG</v>
      </c>
      <c r="C9" s="21" t="s">
        <v>444</v>
      </c>
      <c r="D9" s="21" t="s">
        <v>534</v>
      </c>
      <c r="E9" s="21" t="s">
        <v>421</v>
      </c>
      <c r="F9" s="21" t="s">
        <v>539</v>
      </c>
      <c r="G9" s="21" t="s">
        <v>531</v>
      </c>
      <c r="H9" s="21"/>
      <c r="I9" s="21"/>
      <c r="J9" s="21"/>
      <c r="K9" s="21" t="s">
        <v>540</v>
      </c>
      <c r="L9" s="21"/>
      <c r="M9" s="21"/>
      <c r="N9" s="24" t="n">
        <v>0.2</v>
      </c>
      <c r="O9" s="25"/>
      <c r="P9" s="25"/>
      <c r="Q9" s="25"/>
      <c r="R9" s="21"/>
      <c r="S9" s="21"/>
      <c r="T9" s="32" t="str">
        <f aca="false">IF(L9="","",IF(K9="× Công của người xả",L9*MAX(1,N(H9))/2*100,IF(OR(K9="% máu tối đa của người xả",K9="% máu tối đa của người nhận"),L9*500,"")))</f>
        <v/>
      </c>
      <c r="U9" s="32" t="str">
        <f aca="false">IF(M9="","",IF(K9="× Công của người xả",M9*MAX(1,N(I9))/2*100,IF(OR(K9="% máu tối đa của người xả",K9="% máu tối đa của người nhận"),M9*500,"")))</f>
        <v/>
      </c>
      <c r="V9" s="32" t="str">
        <f aca="false">IF(N9="","",IF(K9="× Công của người xả",N9*MAX(1,N(J9))/2*100,IF(OR(K9="% máu tối đa của người xả",K9="% máu tối đa của người nhận"),N9*500,"")))</f>
        <v/>
      </c>
      <c r="W9" s="21"/>
    </row>
    <row r="10" customFormat="false" ht="25.5" hidden="false" customHeight="true" outlineLevel="0" collapsed="false">
      <c r="A10" s="21" t="s">
        <v>339</v>
      </c>
      <c r="B10" s="22" t="str">
        <f aca="false">IF(A10="","",IFERROR(IF(INDEX(NHÂN_VẬT!$B$6:$B$34,MATCH(A10,NHÂN_VẬT!$A$6:$A$34,0))="","",INDEX(NHÂN_VẬT!$B$6:$B$34,MATCH(A10,NHÂN_VẬT!$A$6:$A$34,0))),"mã không có"))</f>
        <v>HCM-PHỤ KHO VŨ</v>
      </c>
      <c r="C10" s="21" t="s">
        <v>438</v>
      </c>
      <c r="D10" s="21" t="s">
        <v>530</v>
      </c>
      <c r="E10" s="21" t="s">
        <v>418</v>
      </c>
      <c r="F10" s="21" t="s">
        <v>541</v>
      </c>
      <c r="G10" s="21" t="s">
        <v>542</v>
      </c>
      <c r="H10" s="21" t="n">
        <v>1</v>
      </c>
      <c r="I10" s="21" t="n">
        <v>1</v>
      </c>
      <c r="J10" s="21" t="n">
        <v>1</v>
      </c>
      <c r="K10" s="21" t="s">
        <v>543</v>
      </c>
      <c r="L10" s="27" t="n">
        <v>2</v>
      </c>
      <c r="M10" s="27" t="n">
        <v>2.2</v>
      </c>
      <c r="N10" s="27" t="n">
        <v>2.4</v>
      </c>
      <c r="O10" s="25"/>
      <c r="P10" s="25"/>
      <c r="Q10" s="25"/>
      <c r="R10" s="21"/>
      <c r="S10" s="21"/>
      <c r="T10" s="32" t="n">
        <f aca="false">IF(L10="","",IF(K10="× Công của người xả",L10*MAX(1,N(H10))/2*100,IF(OR(K10="% máu tối đa của người xả",K10="% máu tối đa của người nhận"),L10*500,"")))</f>
        <v>100</v>
      </c>
      <c r="U10" s="32" t="n">
        <f aca="false">IF(M10="","",IF(K10="× Công của người xả",M10*MAX(1,N(I10))/2*100,IF(OR(K10="% máu tối đa của người xả",K10="% máu tối đa của người nhận"),M10*500,"")))</f>
        <v>110</v>
      </c>
      <c r="V10" s="32" t="n">
        <f aca="false">IF(N10="","",IF(K10="× Công của người xả",N10*MAX(1,N(J10))/2*100,IF(OR(K10="% máu tối đa của người xả",K10="% máu tối đa của người nhận"),N10*500,"")))</f>
        <v>120</v>
      </c>
      <c r="W10" s="21" t="s">
        <v>544</v>
      </c>
    </row>
    <row r="11" customFormat="false" ht="15" hidden="false" customHeight="true" outlineLevel="0" collapsed="false">
      <c r="A11" s="21" t="s">
        <v>339</v>
      </c>
      <c r="B11" s="22" t="str">
        <f aca="false">IF(A11="","",IFERROR(IF(INDEX(NHÂN_VẬT!$B$6:$B$34,MATCH(A11,NHÂN_VẬT!$A$6:$A$34,0))="","",INDEX(NHÂN_VẬT!$B$6:$B$34,MATCH(A11,NHÂN_VẬT!$A$6:$A$34,0))),"mã không có"))</f>
        <v>HCM-PHỤ KHO VŨ</v>
      </c>
      <c r="C11" s="21" t="s">
        <v>438</v>
      </c>
      <c r="D11" s="21" t="s">
        <v>530</v>
      </c>
      <c r="E11" s="21" t="s">
        <v>421</v>
      </c>
      <c r="F11" s="21" t="s">
        <v>537</v>
      </c>
      <c r="G11" s="21" t="s">
        <v>545</v>
      </c>
      <c r="H11" s="21"/>
      <c r="I11" s="21"/>
      <c r="J11" s="21"/>
      <c r="K11" s="21"/>
      <c r="L11" s="21"/>
      <c r="M11" s="21"/>
      <c r="N11" s="21"/>
      <c r="O11" s="25"/>
      <c r="P11" s="25"/>
      <c r="Q11" s="25" t="n">
        <v>0.1</v>
      </c>
      <c r="R11" s="21" t="n">
        <v>1</v>
      </c>
      <c r="S11" s="21" t="s">
        <v>546</v>
      </c>
      <c r="T11" s="32" t="str">
        <f aca="false">IF(L11="","",IF(K11="× Công của người xả",L11*MAX(1,N(H11))/2*100,IF(OR(K11="% máu tối đa của người xả",K11="% máu tối đa của người nhận"),L11*500,"")))</f>
        <v/>
      </c>
      <c r="U11" s="32" t="str">
        <f aca="false">IF(M11="","",IF(K11="× Công của người xả",M11*MAX(1,N(I11))/2*100,IF(OR(K11="% máu tối đa của người xả",K11="% máu tối đa của người nhận"),M11*500,"")))</f>
        <v/>
      </c>
      <c r="V11" s="32" t="str">
        <f aca="false">IF(N11="","",IF(K11="× Công của người xả",N11*MAX(1,N(J11))/2*100,IF(OR(K11="% máu tối đa của người xả",K11="% máu tối đa của người nhận"),N11*500,"")))</f>
        <v/>
      </c>
      <c r="W11" s="21"/>
    </row>
    <row r="12" customFormat="false" ht="15" hidden="false" customHeight="true" outlineLevel="0" collapsed="false">
      <c r="A12" s="21" t="s">
        <v>339</v>
      </c>
      <c r="B12" s="22" t="str">
        <f aca="false">IF(A12="","",IFERROR(IF(INDEX(NHÂN_VẬT!$B$6:$B$34,MATCH(A12,NHÂN_VẬT!$A$6:$A$34,0))="","",INDEX(NHÂN_VẬT!$B$6:$B$34,MATCH(A12,NHÂN_VẬT!$A$6:$A$34,0))),"mã không có"))</f>
        <v>HCM-PHỤ KHO VŨ</v>
      </c>
      <c r="C12" s="21" t="s">
        <v>444</v>
      </c>
      <c r="D12" s="21" t="s">
        <v>547</v>
      </c>
      <c r="E12" s="21" t="s">
        <v>421</v>
      </c>
      <c r="F12" s="21" t="s">
        <v>548</v>
      </c>
      <c r="G12" s="21" t="s">
        <v>531</v>
      </c>
      <c r="H12" s="21"/>
      <c r="I12" s="21"/>
      <c r="J12" s="21"/>
      <c r="K12" s="21" t="s">
        <v>549</v>
      </c>
      <c r="L12" s="21"/>
      <c r="M12" s="21"/>
      <c r="N12" s="33" t="n">
        <v>20</v>
      </c>
      <c r="O12" s="25"/>
      <c r="P12" s="25"/>
      <c r="Q12" s="25"/>
      <c r="R12" s="21"/>
      <c r="S12" s="21"/>
      <c r="T12" s="32" t="str">
        <f aca="false">IF(L12="","",IF(K12="× Công của người xả",L12*MAX(1,N(H12))/2*100,IF(OR(K12="% máu tối đa của người xả",K12="% máu tối đa của người nhận"),L12*500,"")))</f>
        <v/>
      </c>
      <c r="U12" s="32" t="str">
        <f aca="false">IF(M12="","",IF(K12="× Công của người xả",M12*MAX(1,N(I12))/2*100,IF(OR(K12="% máu tối đa của người xả",K12="% máu tối đa của người nhận"),M12*500,"")))</f>
        <v/>
      </c>
      <c r="V12" s="32" t="str">
        <f aca="false">IF(N12="","",IF(K12="× Công của người xả",N12*MAX(1,N(J12))/2*100,IF(OR(K12="% máu tối đa của người xả",K12="% máu tối đa của người nhận"),N12*500,"")))</f>
        <v/>
      </c>
      <c r="W12" s="21"/>
    </row>
    <row r="13" customFormat="false" ht="25.5" hidden="false" customHeight="true" outlineLevel="0" collapsed="false">
      <c r="A13" s="21" t="s">
        <v>344</v>
      </c>
      <c r="B13" s="22" t="str">
        <f aca="false">IF(A13="","",IFERROR(IF(INDEX(NHÂN_VẬT!$B$6:$B$34,MATCH(A13,NHÂN_VẬT!$A$6:$A$34,0))="","",INDEX(NHÂN_VẬT!$B$6:$B$34,MATCH(A13,NHÂN_VẬT!$A$6:$A$34,0))),"mã không có"))</f>
        <v>HCM-SALE THẢO</v>
      </c>
      <c r="C13" s="21" t="s">
        <v>438</v>
      </c>
      <c r="D13" s="21" t="s">
        <v>530</v>
      </c>
      <c r="E13" s="21" t="s">
        <v>418</v>
      </c>
      <c r="F13" s="21" t="s">
        <v>541</v>
      </c>
      <c r="G13" s="21" t="s">
        <v>542</v>
      </c>
      <c r="H13" s="21" t="n">
        <v>1</v>
      </c>
      <c r="I13" s="21" t="n">
        <v>1</v>
      </c>
      <c r="J13" s="21" t="n">
        <v>1</v>
      </c>
      <c r="K13" s="21" t="s">
        <v>543</v>
      </c>
      <c r="L13" s="27" t="n">
        <v>2</v>
      </c>
      <c r="M13" s="27" t="n">
        <v>2.2</v>
      </c>
      <c r="N13" s="27" t="n">
        <v>2.4</v>
      </c>
      <c r="O13" s="25"/>
      <c r="P13" s="25"/>
      <c r="Q13" s="25"/>
      <c r="R13" s="21"/>
      <c r="S13" s="21"/>
      <c r="T13" s="32" t="n">
        <f aca="false">IF(L13="","",IF(K13="× Công của người xả",L13*MAX(1,N(H13))/2*100,IF(OR(K13="% máu tối đa của người xả",K13="% máu tối đa của người nhận"),L13*500,"")))</f>
        <v>100</v>
      </c>
      <c r="U13" s="32" t="n">
        <f aca="false">IF(M13="","",IF(K13="× Công của người xả",M13*MAX(1,N(I13))/2*100,IF(OR(K13="% máu tối đa của người xả",K13="% máu tối đa của người nhận"),M13*500,"")))</f>
        <v>110</v>
      </c>
      <c r="V13" s="32" t="n">
        <f aca="false">IF(N13="","",IF(K13="× Công của người xả",N13*MAX(1,N(J13))/2*100,IF(OR(K13="% máu tối đa của người xả",K13="% máu tối đa của người nhận"),N13*500,"")))</f>
        <v>120</v>
      </c>
      <c r="W13" s="21"/>
    </row>
    <row r="14" customFormat="false" ht="15" hidden="false" customHeight="true" outlineLevel="0" collapsed="false">
      <c r="A14" s="21" t="s">
        <v>344</v>
      </c>
      <c r="B14" s="22" t="str">
        <f aca="false">IF(A14="","",IFERROR(IF(INDEX(NHÂN_VẬT!$B$6:$B$34,MATCH(A14,NHÂN_VẬT!$A$6:$A$34,0))="","",INDEX(NHÂN_VẬT!$B$6:$B$34,MATCH(A14,NHÂN_VẬT!$A$6:$A$34,0))),"mã không có"))</f>
        <v>HCM-SALE THẢO</v>
      </c>
      <c r="C14" s="21" t="s">
        <v>438</v>
      </c>
      <c r="D14" s="21" t="s">
        <v>530</v>
      </c>
      <c r="E14" s="21" t="s">
        <v>421</v>
      </c>
      <c r="F14" s="21" t="s">
        <v>537</v>
      </c>
      <c r="G14" s="21" t="s">
        <v>545</v>
      </c>
      <c r="H14" s="21"/>
      <c r="I14" s="21"/>
      <c r="J14" s="21"/>
      <c r="K14" s="21"/>
      <c r="L14" s="21"/>
      <c r="M14" s="21"/>
      <c r="N14" s="21"/>
      <c r="O14" s="25"/>
      <c r="P14" s="25"/>
      <c r="Q14" s="25" t="n">
        <v>0.1</v>
      </c>
      <c r="R14" s="21" t="n">
        <v>1</v>
      </c>
      <c r="S14" s="21" t="s">
        <v>550</v>
      </c>
      <c r="T14" s="32" t="str">
        <f aca="false">IF(L14="","",IF(K14="× Công của người xả",L14*MAX(1,N(H14))/2*100,IF(OR(K14="% máu tối đa của người xả",K14="% máu tối đa của người nhận"),L14*500,"")))</f>
        <v/>
      </c>
      <c r="U14" s="32" t="str">
        <f aca="false">IF(M14="","",IF(K14="× Công của người xả",M14*MAX(1,N(I14))/2*100,IF(OR(K14="% máu tối đa của người xả",K14="% máu tối đa của người nhận"),M14*500,"")))</f>
        <v/>
      </c>
      <c r="V14" s="32" t="str">
        <f aca="false">IF(N14="","",IF(K14="× Công của người xả",N14*MAX(1,N(J14))/2*100,IF(OR(K14="% máu tối đa của người xả",K14="% máu tối đa của người nhận"),N14*500,"")))</f>
        <v/>
      </c>
      <c r="W14" s="21"/>
    </row>
    <row r="15" customFormat="false" ht="15" hidden="false" customHeight="true" outlineLevel="0" collapsed="false">
      <c r="A15" s="21" t="s">
        <v>344</v>
      </c>
      <c r="B15" s="22" t="str">
        <f aca="false">IF(A15="","",IFERROR(IF(INDEX(NHÂN_VẬT!$B$6:$B$34,MATCH(A15,NHÂN_VẬT!$A$6:$A$34,0))="","",INDEX(NHÂN_VẬT!$B$6:$B$34,MATCH(A15,NHÂN_VẬT!$A$6:$A$34,0))),"mã không có"))</f>
        <v>HCM-SALE THẢO</v>
      </c>
      <c r="C15" s="21" t="s">
        <v>444</v>
      </c>
      <c r="D15" s="21" t="s">
        <v>551</v>
      </c>
      <c r="E15" s="21" t="s">
        <v>421</v>
      </c>
      <c r="F15" s="21" t="s">
        <v>552</v>
      </c>
      <c r="G15" s="21" t="s">
        <v>531</v>
      </c>
      <c r="H15" s="21"/>
      <c r="I15" s="21"/>
      <c r="J15" s="21"/>
      <c r="K15" s="21" t="s">
        <v>553</v>
      </c>
      <c r="L15" s="21"/>
      <c r="M15" s="21"/>
      <c r="N15" s="24" t="n">
        <v>0.15</v>
      </c>
      <c r="O15" s="25"/>
      <c r="P15" s="25"/>
      <c r="Q15" s="25"/>
      <c r="R15" s="21" t="n">
        <v>2</v>
      </c>
      <c r="S15" s="21"/>
      <c r="T15" s="32" t="str">
        <f aca="false">IF(L15="","",IF(K15="× Công của người xả",L15*MAX(1,N(H15))/2*100,IF(OR(K15="% máu tối đa của người xả",K15="% máu tối đa của người nhận"),L15*500,"")))</f>
        <v/>
      </c>
      <c r="U15" s="32" t="str">
        <f aca="false">IF(M15="","",IF(K15="× Công của người xả",M15*MAX(1,N(I15))/2*100,IF(OR(K15="% máu tối đa của người xả",K15="% máu tối đa của người nhận"),M15*500,"")))</f>
        <v/>
      </c>
      <c r="V15" s="32" t="str">
        <f aca="false">IF(N15="","",IF(K15="× Công của người xả",N15*MAX(1,N(J15))/2*100,IF(OR(K15="% máu tối đa của người xả",K15="% máu tối đa của người nhận"),N15*500,"")))</f>
        <v/>
      </c>
      <c r="W15" s="21" t="s">
        <v>554</v>
      </c>
    </row>
    <row r="16" customFormat="false" ht="15" hidden="false" customHeight="true" outlineLevel="0" collapsed="false">
      <c r="A16" s="21" t="s">
        <v>348</v>
      </c>
      <c r="B16" s="22" t="str">
        <f aca="false">IF(A16="","",IFERROR(IF(INDEX(NHÂN_VẬT!$B$6:$B$34,MATCH(A16,NHÂN_VẬT!$A$6:$A$34,0))="","",INDEX(NHÂN_VẬT!$B$6:$B$34,MATCH(A16,NHÂN_VẬT!$A$6:$A$34,0))),"mã không có"))</f>
        <v>HCM-SALE DƯƠNG</v>
      </c>
      <c r="C16" s="21" t="s">
        <v>438</v>
      </c>
      <c r="D16" s="21" t="s">
        <v>530</v>
      </c>
      <c r="E16" s="21" t="s">
        <v>418</v>
      </c>
      <c r="F16" s="21" t="s">
        <v>541</v>
      </c>
      <c r="G16" s="21" t="s">
        <v>555</v>
      </c>
      <c r="H16" s="21" t="n">
        <v>2</v>
      </c>
      <c r="I16" s="21" t="n">
        <v>2</v>
      </c>
      <c r="J16" s="21" t="n">
        <v>3</v>
      </c>
      <c r="K16" s="21" t="s">
        <v>543</v>
      </c>
      <c r="L16" s="27" t="n">
        <v>1.1</v>
      </c>
      <c r="M16" s="27" t="n">
        <v>1.2</v>
      </c>
      <c r="N16" s="27" t="n">
        <v>1.3</v>
      </c>
      <c r="O16" s="25"/>
      <c r="P16" s="25"/>
      <c r="Q16" s="25"/>
      <c r="R16" s="21"/>
      <c r="S16" s="21"/>
      <c r="T16" s="32" t="n">
        <f aca="false">IF(L16="","",IF(K16="× Công của người xả",L16*MAX(1,N(H16))/2*100,IF(OR(K16="% máu tối đa của người xả",K16="% máu tối đa của người nhận"),L16*500,"")))</f>
        <v>110</v>
      </c>
      <c r="U16" s="32" t="n">
        <f aca="false">IF(M16="","",IF(K16="× Công của người xả",M16*MAX(1,N(I16))/2*100,IF(OR(K16="% máu tối đa của người xả",K16="% máu tối đa của người nhận"),M16*500,"")))</f>
        <v>120</v>
      </c>
      <c r="V16" s="32" t="n">
        <f aca="false">IF(N16="","",IF(K16="× Công của người xả",N16*MAX(1,N(J16))/2*100,IF(OR(K16="% máu tối đa của người xả",K16="% máu tối đa của người nhận"),N16*500,"")))</f>
        <v>195</v>
      </c>
      <c r="W16" s="21" t="s">
        <v>556</v>
      </c>
    </row>
    <row r="17" customFormat="false" ht="25.5" hidden="false" customHeight="true" outlineLevel="0" collapsed="false">
      <c r="A17" s="21" t="s">
        <v>348</v>
      </c>
      <c r="B17" s="22" t="str">
        <f aca="false">IF(A17="","",IFERROR(IF(INDEX(NHÂN_VẬT!$B$6:$B$34,MATCH(A17,NHÂN_VẬT!$A$6:$A$34,0))="","",INDEX(NHÂN_VẬT!$B$6:$B$34,MATCH(A17,NHÂN_VẬT!$A$6:$A$34,0))),"mã không có"))</f>
        <v>HCM-SALE DƯƠNG</v>
      </c>
      <c r="C17" s="21" t="s">
        <v>438</v>
      </c>
      <c r="D17" s="21" t="s">
        <v>530</v>
      </c>
      <c r="E17" s="21" t="s">
        <v>420</v>
      </c>
      <c r="F17" s="21" t="s">
        <v>537</v>
      </c>
      <c r="G17" s="21" t="s">
        <v>545</v>
      </c>
      <c r="H17" s="21"/>
      <c r="I17" s="21"/>
      <c r="J17" s="21"/>
      <c r="K17" s="21"/>
      <c r="L17" s="21"/>
      <c r="M17" s="21"/>
      <c r="N17" s="21"/>
      <c r="O17" s="25"/>
      <c r="P17" s="25" t="n">
        <v>0.1</v>
      </c>
      <c r="Q17" s="25" t="n">
        <v>0</v>
      </c>
      <c r="R17" s="21" t="n">
        <v>1</v>
      </c>
      <c r="S17" s="21" t="s">
        <v>557</v>
      </c>
      <c r="T17" s="32" t="str">
        <f aca="false">IF(L17="","",IF(K17="× Công của người xả",L17*MAX(1,N(H17))/2*100,IF(OR(K17="% máu tối đa của người xả",K17="% máu tối đa của người nhận"),L17*500,"")))</f>
        <v/>
      </c>
      <c r="U17" s="32" t="str">
        <f aca="false">IF(M17="","",IF(K17="× Công của người xả",M17*MAX(1,N(I17))/2*100,IF(OR(K17="% máu tối đa của người xả",K17="% máu tối đa của người nhận"),M17*500,"")))</f>
        <v/>
      </c>
      <c r="V17" s="32" t="str">
        <f aca="false">IF(N17="","",IF(K17="× Công của người xả",N17*MAX(1,N(J17))/2*100,IF(OR(K17="% máu tối đa của người xả",K17="% máu tối đa của người nhận"),N17*500,"")))</f>
        <v/>
      </c>
      <c r="W17" s="21" t="s">
        <v>558</v>
      </c>
    </row>
    <row r="18" customFormat="false" ht="15" hidden="false" customHeight="true" outlineLevel="0" collapsed="false">
      <c r="A18" s="21" t="s">
        <v>348</v>
      </c>
      <c r="B18" s="22" t="str">
        <f aca="false">IF(A18="","",IFERROR(IF(INDEX(NHÂN_VẬT!$B$6:$B$34,MATCH(A18,NHÂN_VẬT!$A$6:$A$34,0))="","",INDEX(NHÂN_VẬT!$B$6:$B$34,MATCH(A18,NHÂN_VẬT!$A$6:$A$34,0))),"mã không có"))</f>
        <v>HCM-SALE DƯƠNG</v>
      </c>
      <c r="C18" s="21" t="s">
        <v>438</v>
      </c>
      <c r="D18" s="21" t="s">
        <v>530</v>
      </c>
      <c r="E18" s="21" t="s">
        <v>421</v>
      </c>
      <c r="F18" s="21" t="s">
        <v>537</v>
      </c>
      <c r="G18" s="21" t="s">
        <v>545</v>
      </c>
      <c r="H18" s="21"/>
      <c r="I18" s="21"/>
      <c r="J18" s="21"/>
      <c r="K18" s="21"/>
      <c r="L18" s="21"/>
      <c r="M18" s="21"/>
      <c r="N18" s="21"/>
      <c r="O18" s="25"/>
      <c r="P18" s="25"/>
      <c r="Q18" s="25" t="n">
        <v>0.1</v>
      </c>
      <c r="R18" s="21" t="n">
        <v>1</v>
      </c>
      <c r="S18" s="21" t="s">
        <v>550</v>
      </c>
      <c r="T18" s="32" t="str">
        <f aca="false">IF(L18="","",IF(K18="× Công của người xả",L18*MAX(1,N(H18))/2*100,IF(OR(K18="% máu tối đa của người xả",K18="% máu tối đa của người nhận"),L18*500,"")))</f>
        <v/>
      </c>
      <c r="U18" s="32" t="str">
        <f aca="false">IF(M18="","",IF(K18="× Công của người xả",M18*MAX(1,N(I18))/2*100,IF(OR(K18="% máu tối đa của người xả",K18="% máu tối đa của người nhận"),M18*500,"")))</f>
        <v/>
      </c>
      <c r="V18" s="32" t="str">
        <f aca="false">IF(N18="","",IF(K18="× Công của người xả",N18*MAX(1,N(J18))/2*100,IF(OR(K18="% máu tối đa của người xả",K18="% máu tối đa của người nhận"),N18*500,"")))</f>
        <v/>
      </c>
      <c r="W18" s="21" t="s">
        <v>559</v>
      </c>
    </row>
    <row r="19" customFormat="false" ht="25.5" hidden="false" customHeight="true" outlineLevel="0" collapsed="false">
      <c r="A19" s="21" t="s">
        <v>348</v>
      </c>
      <c r="B19" s="22" t="str">
        <f aca="false">IF(A19="","",IFERROR(IF(INDEX(NHÂN_VẬT!$B$6:$B$34,MATCH(A19,NHÂN_VẬT!$A$6:$A$34,0))="","",INDEX(NHÂN_VẬT!$B$6:$B$34,MATCH(A19,NHÂN_VẬT!$A$6:$A$34,0))),"mã không có"))</f>
        <v>HCM-SALE DƯƠNG</v>
      </c>
      <c r="C19" s="21" t="s">
        <v>444</v>
      </c>
      <c r="D19" s="21" t="s">
        <v>560</v>
      </c>
      <c r="E19" s="21" t="s">
        <v>421</v>
      </c>
      <c r="F19" s="21" t="s">
        <v>129</v>
      </c>
      <c r="G19" s="21" t="s">
        <v>561</v>
      </c>
      <c r="H19" s="21"/>
      <c r="I19" s="21"/>
      <c r="J19" s="21"/>
      <c r="K19" s="21" t="s">
        <v>535</v>
      </c>
      <c r="L19" s="21"/>
      <c r="M19" s="21"/>
      <c r="N19" s="24" t="n">
        <v>0.05</v>
      </c>
      <c r="O19" s="25"/>
      <c r="P19" s="25"/>
      <c r="Q19" s="25" t="n">
        <v>0.2</v>
      </c>
      <c r="R19" s="21"/>
      <c r="S19" s="21"/>
      <c r="T19" s="32" t="str">
        <f aca="false">IF(L19="","",IF(K19="× Công của người xả",L19*MAX(1,N(H19))/2*100,IF(OR(K19="% máu tối đa của người xả",K19="% máu tối đa của người nhận"),L19*500,"")))</f>
        <v/>
      </c>
      <c r="U19" s="32" t="str">
        <f aca="false">IF(M19="","",IF(K19="× Công của người xả",M19*MAX(1,N(I19))/2*100,IF(OR(K19="% máu tối đa của người xả",K19="% máu tối đa của người nhận"),M19*500,"")))</f>
        <v/>
      </c>
      <c r="V19" s="32" t="n">
        <f aca="false">IF(N19="","",IF(K19="× Công của người xả",N19*MAX(1,N(J19))/2*100,IF(OR(K19="% máu tối đa của người xả",K19="% máu tối đa của người nhận"),N19*500,"")))</f>
        <v>25</v>
      </c>
      <c r="W19" s="21" t="s">
        <v>475</v>
      </c>
    </row>
    <row r="20" customFormat="false" ht="25.5" hidden="false" customHeight="true" outlineLevel="0" collapsed="false">
      <c r="A20" s="21" t="s">
        <v>352</v>
      </c>
      <c r="B20" s="22" t="str">
        <f aca="false">IF(A20="","",IFERROR(IF(INDEX(NHÂN_VẬT!$B$6:$B$34,MATCH(A20,NHÂN_VẬT!$A$6:$A$34,0))="","",INDEX(NHÂN_VẬT!$B$6:$B$34,MATCH(A20,NHÂN_VẬT!$A$6:$A$34,0))),"mã không có"))</f>
        <v>HCM-SALE DUYÊN</v>
      </c>
      <c r="C20" s="21" t="s">
        <v>438</v>
      </c>
      <c r="D20" s="21" t="s">
        <v>530</v>
      </c>
      <c r="E20" s="21" t="s">
        <v>418</v>
      </c>
      <c r="F20" s="21" t="s">
        <v>129</v>
      </c>
      <c r="G20" s="21" t="s">
        <v>562</v>
      </c>
      <c r="H20" s="21" t="n">
        <v>1</v>
      </c>
      <c r="I20" s="21" t="n">
        <v>1</v>
      </c>
      <c r="J20" s="21" t="n">
        <v>1</v>
      </c>
      <c r="K20" s="21" t="s">
        <v>535</v>
      </c>
      <c r="L20" s="24" t="n">
        <v>0.18</v>
      </c>
      <c r="M20" s="24" t="n">
        <v>0.22</v>
      </c>
      <c r="N20" s="24" t="n">
        <v>0.22</v>
      </c>
      <c r="O20" s="25"/>
      <c r="P20" s="25"/>
      <c r="Q20" s="25"/>
      <c r="R20" s="21"/>
      <c r="S20" s="21"/>
      <c r="T20" s="32" t="n">
        <f aca="false">IF(L20="","",IF(K20="× Công của người xả",L20*MAX(1,N(H20))/2*100,IF(OR(K20="% máu tối đa của người xả",K20="% máu tối đa của người nhận"),L20*500,"")))</f>
        <v>90</v>
      </c>
      <c r="U20" s="32" t="n">
        <f aca="false">IF(M20="","",IF(K20="× Công của người xả",M20*MAX(1,N(I20))/2*100,IF(OR(K20="% máu tối đa của người xả",K20="% máu tối đa của người nhận"),M20*500,"")))</f>
        <v>110</v>
      </c>
      <c r="V20" s="32" t="n">
        <f aca="false">IF(N20="","",IF(K20="× Công của người xả",N20*MAX(1,N(J20))/2*100,IF(OR(K20="% máu tối đa của người xả",K20="% máu tối đa của người nhận"),N20*500,"")))</f>
        <v>110</v>
      </c>
      <c r="W20" s="21"/>
    </row>
    <row r="21" customFormat="false" ht="38.25" hidden="false" customHeight="true" outlineLevel="0" collapsed="false">
      <c r="A21" s="21" t="s">
        <v>352</v>
      </c>
      <c r="B21" s="22" t="str">
        <f aca="false">IF(A21="","",IFERROR(IF(INDEX(NHÂN_VẬT!$B$6:$B$34,MATCH(A21,NHÂN_VẬT!$A$6:$A$34,0))="","",INDEX(NHÂN_VẬT!$B$6:$B$34,MATCH(A21,NHÂN_VẬT!$A$6:$A$34,0))),"mã không có"))</f>
        <v>HCM-SALE DUYÊN</v>
      </c>
      <c r="C21" s="21" t="s">
        <v>438</v>
      </c>
      <c r="D21" s="21" t="s">
        <v>530</v>
      </c>
      <c r="E21" s="21" t="s">
        <v>421</v>
      </c>
      <c r="F21" s="21" t="s">
        <v>537</v>
      </c>
      <c r="G21" s="21" t="s">
        <v>545</v>
      </c>
      <c r="H21" s="21"/>
      <c r="I21" s="21"/>
      <c r="J21" s="21"/>
      <c r="K21" s="21"/>
      <c r="L21" s="21"/>
      <c r="M21" s="21"/>
      <c r="N21" s="21"/>
      <c r="O21" s="25"/>
      <c r="P21" s="25"/>
      <c r="Q21" s="25" t="n">
        <v>0.1</v>
      </c>
      <c r="R21" s="21" t="n">
        <v>2</v>
      </c>
      <c r="S21" s="21" t="s">
        <v>563</v>
      </c>
      <c r="T21" s="32" t="str">
        <f aca="false">IF(L21="","",IF(K21="× Công của người xả",L21*MAX(1,N(H21))/2*100,IF(OR(K21="% máu tối đa của người xả",K21="% máu tối đa của người nhận"),L21*500,"")))</f>
        <v/>
      </c>
      <c r="U21" s="32" t="str">
        <f aca="false">IF(M21="","",IF(K21="× Công của người xả",M21*MAX(1,N(I21))/2*100,IF(OR(K21="% máu tối đa của người xả",K21="% máu tối đa của người nhận"),M21*500,"")))</f>
        <v/>
      </c>
      <c r="V21" s="32" t="str">
        <f aca="false">IF(N21="","",IF(K21="× Công của người xả",N21*MAX(1,N(J21))/2*100,IF(OR(K21="% máu tối đa của người xả",K21="% máu tối đa của người nhận"),N21*500,"")))</f>
        <v/>
      </c>
      <c r="W21" s="21" t="s">
        <v>564</v>
      </c>
    </row>
    <row r="22" customFormat="false" ht="15" hidden="false" customHeight="true" outlineLevel="0" collapsed="false">
      <c r="A22" s="21" t="s">
        <v>352</v>
      </c>
      <c r="B22" s="22" t="str">
        <f aca="false">IF(A22="","",IFERROR(IF(INDEX(NHÂN_VẬT!$B$6:$B$34,MATCH(A22,NHÂN_VẬT!$A$6:$A$34,0))="","",INDEX(NHÂN_VẬT!$B$6:$B$34,MATCH(A22,NHÂN_VẬT!$A$6:$A$34,0))),"mã không có"))</f>
        <v>HCM-SALE DUYÊN</v>
      </c>
      <c r="C22" s="21" t="s">
        <v>444</v>
      </c>
      <c r="D22" s="21" t="s">
        <v>565</v>
      </c>
      <c r="E22" s="21" t="s">
        <v>421</v>
      </c>
      <c r="F22" s="21" t="s">
        <v>548</v>
      </c>
      <c r="G22" s="21" t="s">
        <v>566</v>
      </c>
      <c r="H22" s="21"/>
      <c r="I22" s="21"/>
      <c r="J22" s="21"/>
      <c r="K22" s="21" t="s">
        <v>549</v>
      </c>
      <c r="L22" s="21"/>
      <c r="M22" s="21"/>
      <c r="N22" s="33" t="n">
        <v>5</v>
      </c>
      <c r="O22" s="25"/>
      <c r="P22" s="25"/>
      <c r="Q22" s="25"/>
      <c r="R22" s="21"/>
      <c r="S22" s="21"/>
      <c r="T22" s="32" t="str">
        <f aca="false">IF(L22="","",IF(K22="× Công của người xả",L22*MAX(1,N(H22))/2*100,IF(OR(K22="% máu tối đa của người xả",K22="% máu tối đa của người nhận"),L22*500,"")))</f>
        <v/>
      </c>
      <c r="U22" s="32" t="str">
        <f aca="false">IF(M22="","",IF(K22="× Công của người xả",M22*MAX(1,N(I22))/2*100,IF(OR(K22="% máu tối đa của người xả",K22="% máu tối đa của người nhận"),M22*500,"")))</f>
        <v/>
      </c>
      <c r="V22" s="32" t="str">
        <f aca="false">IF(N22="","",IF(K22="× Công của người xả",N22*MAX(1,N(J22))/2*100,IF(OR(K22="% máu tối đa của người xả",K22="% máu tối đa của người nhận"),N22*500,"")))</f>
        <v/>
      </c>
      <c r="W22" s="21"/>
    </row>
    <row r="23" customFormat="false" ht="15" hidden="false" customHeight="true" outlineLevel="0" collapsed="false">
      <c r="A23" s="21" t="s">
        <v>356</v>
      </c>
      <c r="B23" s="22" t="str">
        <f aca="false">IF(A23="","",IFERROR(IF(INDEX(NHÂN_VẬT!$B$6:$B$34,MATCH(A23,NHÂN_VẬT!$A$6:$A$34,0))="","",INDEX(NHÂN_VẬT!$B$6:$B$34,MATCH(A23,NHÂN_VẬT!$A$6:$A$34,0))),"mã không có"))</f>
        <v>HCM-KẾ TOÁN THU</v>
      </c>
      <c r="C23" s="21" t="s">
        <v>438</v>
      </c>
      <c r="D23" s="21" t="s">
        <v>530</v>
      </c>
      <c r="E23" s="21" t="s">
        <v>418</v>
      </c>
      <c r="F23" s="21" t="s">
        <v>552</v>
      </c>
      <c r="G23" s="21" t="s">
        <v>567</v>
      </c>
      <c r="H23" s="21"/>
      <c r="I23" s="21"/>
      <c r="J23" s="21"/>
      <c r="K23" s="21" t="s">
        <v>553</v>
      </c>
      <c r="L23" s="24" t="n">
        <v>0.15</v>
      </c>
      <c r="M23" s="24" t="n">
        <v>0.17</v>
      </c>
      <c r="N23" s="24" t="n">
        <v>0.2</v>
      </c>
      <c r="O23" s="25"/>
      <c r="P23" s="25"/>
      <c r="Q23" s="25"/>
      <c r="R23" s="21" t="n">
        <v>2</v>
      </c>
      <c r="S23" s="21"/>
      <c r="T23" s="32" t="str">
        <f aca="false">IF(L23="","",IF(K23="× Công của người xả",L23*MAX(1,N(H23))/2*100,IF(OR(K23="% máu tối đa của người xả",K23="% máu tối đa của người nhận"),L23*500,"")))</f>
        <v/>
      </c>
      <c r="U23" s="32" t="str">
        <f aca="false">IF(M23="","",IF(K23="× Công của người xả",M23*MAX(1,N(I23))/2*100,IF(OR(K23="% máu tối đa của người xả",K23="% máu tối đa của người nhận"),M23*500,"")))</f>
        <v/>
      </c>
      <c r="V23" s="32" t="str">
        <f aca="false">IF(N23="","",IF(K23="× Công của người xả",N23*MAX(1,N(J23))/2*100,IF(OR(K23="% máu tối đa của người xả",K23="% máu tối đa của người nhận"),N23*500,"")))</f>
        <v/>
      </c>
      <c r="W23" s="21" t="s">
        <v>568</v>
      </c>
    </row>
    <row r="24" customFormat="false" ht="15" hidden="false" customHeight="true" outlineLevel="0" collapsed="false">
      <c r="A24" s="21" t="s">
        <v>356</v>
      </c>
      <c r="B24" s="22" t="str">
        <f aca="false">IF(A24="","",IFERROR(IF(INDEX(NHÂN_VẬT!$B$6:$B$34,MATCH(A24,NHÂN_VẬT!$A$6:$A$34,0))="","",INDEX(NHÂN_VẬT!$B$6:$B$34,MATCH(A24,NHÂN_VẬT!$A$6:$A$34,0))),"mã không có"))</f>
        <v>HCM-KẾ TOÁN THU</v>
      </c>
      <c r="C24" s="21" t="s">
        <v>444</v>
      </c>
      <c r="D24" s="21" t="s">
        <v>569</v>
      </c>
      <c r="E24" s="21" t="s">
        <v>421</v>
      </c>
      <c r="F24" s="21" t="s">
        <v>548</v>
      </c>
      <c r="G24" s="21" t="s">
        <v>567</v>
      </c>
      <c r="H24" s="21"/>
      <c r="I24" s="21"/>
      <c r="J24" s="21"/>
      <c r="K24" s="21" t="s">
        <v>549</v>
      </c>
      <c r="L24" s="21"/>
      <c r="M24" s="21"/>
      <c r="N24" s="33" t="n">
        <v>10</v>
      </c>
      <c r="O24" s="25"/>
      <c r="P24" s="25"/>
      <c r="Q24" s="25"/>
      <c r="R24" s="21"/>
      <c r="S24" s="21"/>
      <c r="T24" s="32" t="str">
        <f aca="false">IF(L24="","",IF(K24="× Công của người xả",L24*MAX(1,N(H24))/2*100,IF(OR(K24="% máu tối đa của người xả",K24="% máu tối đa của người nhận"),L24*500,"")))</f>
        <v/>
      </c>
      <c r="U24" s="32" t="str">
        <f aca="false">IF(M24="","",IF(K24="× Công của người xả",M24*MAX(1,N(I24))/2*100,IF(OR(K24="% máu tối đa của người xả",K24="% máu tối đa của người nhận"),M24*500,"")))</f>
        <v/>
      </c>
      <c r="V24" s="32" t="str">
        <f aca="false">IF(N24="","",IF(K24="× Công của người xả",N24*MAX(1,N(J24))/2*100,IF(OR(K24="% máu tối đa của người xả",K24="% máu tối đa của người nhận"),N24*500,"")))</f>
        <v/>
      </c>
      <c r="W24" s="21"/>
    </row>
    <row r="25" customFormat="false" ht="15" hidden="false" customHeight="true" outlineLevel="0" collapsed="false">
      <c r="A25" s="21" t="s">
        <v>360</v>
      </c>
      <c r="B25" s="22" t="str">
        <f aca="false">IF(A25="","",IFERROR(IF(INDEX(NHÂN_VẬT!$B$6:$B$34,MATCH(A25,NHÂN_VẬT!$A$6:$A$34,0))="","",INDEX(NHÂN_VẬT!$B$6:$B$34,MATCH(A25,NHÂN_VẬT!$A$6:$A$34,0))),"mã không có"))</f>
        <v>HCM-SALE NHÂN</v>
      </c>
      <c r="C25" s="21" t="s">
        <v>438</v>
      </c>
      <c r="D25" s="21" t="s">
        <v>530</v>
      </c>
      <c r="E25" s="21" t="s">
        <v>418</v>
      </c>
      <c r="F25" s="21" t="s">
        <v>541</v>
      </c>
      <c r="G25" s="21" t="s">
        <v>570</v>
      </c>
      <c r="H25" s="21" t="n">
        <v>1</v>
      </c>
      <c r="I25" s="21" t="n">
        <v>1</v>
      </c>
      <c r="J25" s="21" t="n">
        <v>1</v>
      </c>
      <c r="K25" s="21" t="s">
        <v>543</v>
      </c>
      <c r="L25" s="27" t="n">
        <v>1.7</v>
      </c>
      <c r="M25" s="27" t="n">
        <v>1.8</v>
      </c>
      <c r="N25" s="27" t="n">
        <v>1.85</v>
      </c>
      <c r="O25" s="25"/>
      <c r="P25" s="25"/>
      <c r="Q25" s="25"/>
      <c r="R25" s="21"/>
      <c r="S25" s="21"/>
      <c r="T25" s="32" t="n">
        <f aca="false">IF(L25="","",IF(K25="× Công của người xả",L25*MAX(1,N(H25))/2*100,IF(OR(K25="% máu tối đa của người xả",K25="% máu tối đa của người nhận"),L25*500,"")))</f>
        <v>85</v>
      </c>
      <c r="U25" s="32" t="n">
        <f aca="false">IF(M25="","",IF(K25="× Công của người xả",M25*MAX(1,N(I25))/2*100,IF(OR(K25="% máu tối đa của người xả",K25="% máu tối đa của người nhận"),M25*500,"")))</f>
        <v>90</v>
      </c>
      <c r="V25" s="32" t="n">
        <f aca="false">IF(N25="","",IF(K25="× Công của người xả",N25*MAX(1,N(J25))/2*100,IF(OR(K25="% máu tối đa của người xả",K25="% máu tối đa của người nhận"),N25*500,"")))</f>
        <v>92.5</v>
      </c>
      <c r="W25" s="21" t="s">
        <v>571</v>
      </c>
    </row>
    <row r="26" customFormat="false" ht="15" hidden="false" customHeight="true" outlineLevel="0" collapsed="false">
      <c r="A26" s="21" t="s">
        <v>360</v>
      </c>
      <c r="B26" s="22" t="str">
        <f aca="false">IF(A26="","",IFERROR(IF(INDEX(NHÂN_VẬT!$B$6:$B$34,MATCH(A26,NHÂN_VẬT!$A$6:$A$34,0))="","",INDEX(NHÂN_VẬT!$B$6:$B$34,MATCH(A26,NHÂN_VẬT!$A$6:$A$34,0))),"mã không có"))</f>
        <v>HCM-SALE NHÂN</v>
      </c>
      <c r="C26" s="21" t="s">
        <v>438</v>
      </c>
      <c r="D26" s="21" t="s">
        <v>530</v>
      </c>
      <c r="E26" s="21" t="s">
        <v>421</v>
      </c>
      <c r="F26" s="21" t="s">
        <v>572</v>
      </c>
      <c r="G26" s="21" t="s">
        <v>545</v>
      </c>
      <c r="H26" s="21"/>
      <c r="I26" s="21"/>
      <c r="J26" s="21"/>
      <c r="K26" s="21" t="s">
        <v>549</v>
      </c>
      <c r="L26" s="21"/>
      <c r="M26" s="21"/>
      <c r="N26" s="33" t="n">
        <v>20</v>
      </c>
      <c r="O26" s="25"/>
      <c r="P26" s="25"/>
      <c r="Q26" s="25" t="n">
        <v>0.5</v>
      </c>
      <c r="R26" s="21"/>
      <c r="S26" s="21"/>
      <c r="T26" s="32" t="str">
        <f aca="false">IF(L26="","",IF(K26="× Công của người xả",L26*MAX(1,N(H26))/2*100,IF(OR(K26="% máu tối đa của người xả",K26="% máu tối đa của người nhận"),L26*500,"")))</f>
        <v/>
      </c>
      <c r="U26" s="32" t="str">
        <f aca="false">IF(M26="","",IF(K26="× Công của người xả",M26*MAX(1,N(I26))/2*100,IF(OR(K26="% máu tối đa của người xả",K26="% máu tối đa của người nhận"),M26*500,"")))</f>
        <v/>
      </c>
      <c r="V26" s="32" t="str">
        <f aca="false">IF(N26="","",IF(K26="× Công của người xả",N26*MAX(1,N(J26))/2*100,IF(OR(K26="% máu tối đa của người xả",K26="% máu tối đa của người nhận"),N26*500,"")))</f>
        <v/>
      </c>
      <c r="W26" s="21"/>
    </row>
    <row r="27" customFormat="false" ht="25.5" hidden="false" customHeight="true" outlineLevel="0" collapsed="false">
      <c r="A27" s="21" t="s">
        <v>360</v>
      </c>
      <c r="B27" s="22" t="str">
        <f aca="false">IF(A27="","",IFERROR(IF(INDEX(NHÂN_VẬT!$B$6:$B$34,MATCH(A27,NHÂN_VẬT!$A$6:$A$34,0))="","",INDEX(NHÂN_VẬT!$B$6:$B$34,MATCH(A27,NHÂN_VẬT!$A$6:$A$34,0))),"mã không có"))</f>
        <v>HCM-SALE NHÂN</v>
      </c>
      <c r="C27" s="21" t="s">
        <v>444</v>
      </c>
      <c r="D27" s="21" t="s">
        <v>573</v>
      </c>
      <c r="E27" s="21" t="s">
        <v>421</v>
      </c>
      <c r="F27" s="21" t="s">
        <v>541</v>
      </c>
      <c r="G27" s="21" t="s">
        <v>542</v>
      </c>
      <c r="H27" s="21"/>
      <c r="I27" s="21"/>
      <c r="J27" s="21"/>
      <c r="K27" s="21" t="s">
        <v>574</v>
      </c>
      <c r="L27" s="21"/>
      <c r="M27" s="21"/>
      <c r="N27" s="24" t="n">
        <v>0.2</v>
      </c>
      <c r="O27" s="25"/>
      <c r="P27" s="25"/>
      <c r="Q27" s="25"/>
      <c r="R27" s="21"/>
      <c r="S27" s="21"/>
      <c r="T27" s="32" t="str">
        <f aca="false">IF(L27="","",IF(K27="× Công của người xả",L27*MAX(1,N(H27))/2*100,IF(OR(K27="% máu tối đa của người xả",K27="% máu tối đa của người nhận"),L27*500,"")))</f>
        <v/>
      </c>
      <c r="U27" s="32" t="str">
        <f aca="false">IF(M27="","",IF(K27="× Công của người xả",M27*MAX(1,N(I27))/2*100,IF(OR(K27="% máu tối đa của người xả",K27="% máu tối đa của người nhận"),M27*500,"")))</f>
        <v/>
      </c>
      <c r="V27" s="32" t="str">
        <f aca="false">IF(N27="","",IF(K27="× Công của người xả",N27*MAX(1,N(J27))/2*100,IF(OR(K27="% máu tối đa của người xả",K27="% máu tối đa của người nhận"),N27*500,"")))</f>
        <v/>
      </c>
      <c r="W27" s="21"/>
    </row>
    <row r="28" customFormat="false" ht="25.5" hidden="false" customHeight="true" outlineLevel="0" collapsed="false">
      <c r="A28" s="21" t="s">
        <v>360</v>
      </c>
      <c r="B28" s="22" t="str">
        <f aca="false">IF(A28="","",IFERROR(IF(INDEX(NHÂN_VẬT!$B$6:$B$34,MATCH(A28,NHÂN_VẬT!$A$6:$A$34,0))="","",INDEX(NHÂN_VẬT!$B$6:$B$34,MATCH(A28,NHÂN_VẬT!$A$6:$A$34,0))),"mã không có"))</f>
        <v>HCM-SALE NHÂN</v>
      </c>
      <c r="C28" s="21" t="s">
        <v>444</v>
      </c>
      <c r="D28" s="21" t="s">
        <v>575</v>
      </c>
      <c r="E28" s="21" t="s">
        <v>421</v>
      </c>
      <c r="F28" s="21" t="s">
        <v>548</v>
      </c>
      <c r="G28" s="21" t="s">
        <v>531</v>
      </c>
      <c r="H28" s="21"/>
      <c r="I28" s="21"/>
      <c r="J28" s="21"/>
      <c r="K28" s="21" t="s">
        <v>549</v>
      </c>
      <c r="L28" s="21"/>
      <c r="M28" s="21"/>
      <c r="N28" s="33" t="n">
        <v>50</v>
      </c>
      <c r="O28" s="25"/>
      <c r="P28" s="25"/>
      <c r="Q28" s="25"/>
      <c r="R28" s="21"/>
      <c r="S28" s="21"/>
      <c r="T28" s="32" t="str">
        <f aca="false">IF(L28="","",IF(K28="× Công của người xả",L28*MAX(1,N(H28))/2*100,IF(OR(K28="% máu tối đa của người xả",K28="% máu tối đa của người nhận"),L28*500,"")))</f>
        <v/>
      </c>
      <c r="U28" s="32" t="str">
        <f aca="false">IF(M28="","",IF(K28="× Công của người xả",M28*MAX(1,N(I28))/2*100,IF(OR(K28="% máu tối đa của người xả",K28="% máu tối đa của người nhận"),M28*500,"")))</f>
        <v/>
      </c>
      <c r="V28" s="32" t="str">
        <f aca="false">IF(N28="","",IF(K28="× Công của người xả",N28*MAX(1,N(J28))/2*100,IF(OR(K28="% máu tối đa của người xả",K28="% máu tối đa của người nhận"),N28*500,"")))</f>
        <v/>
      </c>
      <c r="W28" s="21" t="s">
        <v>576</v>
      </c>
    </row>
    <row r="29" customFormat="false" ht="34.5" hidden="false" customHeight="true" outlineLevel="0" collapsed="false">
      <c r="A29" s="21" t="s">
        <v>364</v>
      </c>
      <c r="B29" s="22" t="str">
        <f aca="false">IF(A29="","",IFERROR(IF(INDEX(NHÂN_VẬT!$B$6:$B$34,MATCH(A29,NHÂN_VẬT!$A$6:$A$34,0))="","",INDEX(NHÂN_VẬT!$B$6:$B$34,MATCH(A29,NHÂN_VẬT!$A$6:$A$34,0))),"mã không có"))</f>
        <v>HCM-PHỤ KHO ANH LÂM</v>
      </c>
      <c r="C29" s="21" t="s">
        <v>438</v>
      </c>
      <c r="D29" s="21" t="s">
        <v>530</v>
      </c>
      <c r="E29" s="21" t="s">
        <v>418</v>
      </c>
      <c r="F29" s="21" t="s">
        <v>541</v>
      </c>
      <c r="G29" s="21" t="s">
        <v>577</v>
      </c>
      <c r="H29" s="21" t="n">
        <v>2</v>
      </c>
      <c r="I29" s="21" t="n">
        <v>2</v>
      </c>
      <c r="J29" s="21" t="n">
        <v>2</v>
      </c>
      <c r="K29" s="21" t="s">
        <v>543</v>
      </c>
      <c r="L29" s="27" t="n">
        <v>2</v>
      </c>
      <c r="M29" s="27" t="n">
        <v>2.2</v>
      </c>
      <c r="N29" s="27" t="n">
        <v>2.4</v>
      </c>
      <c r="O29" s="25"/>
      <c r="P29" s="25"/>
      <c r="Q29" s="25"/>
      <c r="R29" s="21"/>
      <c r="S29" s="21"/>
      <c r="T29" s="32" t="n">
        <f aca="false">IF(L29="","",IF(K29="× Công của người xả",L29*MAX(1,N(H29))/2*100,IF(OR(K29="% máu tối đa của người xả",K29="% máu tối đa của người nhận"),L29*500,"")))</f>
        <v>200</v>
      </c>
      <c r="U29" s="32" t="n">
        <f aca="false">IF(M29="","",IF(K29="× Công của người xả",M29*MAX(1,N(I29))/2*100,IF(OR(K29="% máu tối đa của người xả",K29="% máu tối đa của người nhận"),M29*500,"")))</f>
        <v>220</v>
      </c>
      <c r="V29" s="32" t="n">
        <f aca="false">IF(N29="","",IF(K29="× Công của người xả",N29*MAX(1,N(J29))/2*100,IF(OR(K29="% máu tối đa của người xả",K29="% máu tối đa của người nhận"),N29*500,"")))</f>
        <v>240</v>
      </c>
      <c r="W29" s="21" t="s">
        <v>578</v>
      </c>
    </row>
    <row r="30" customFormat="false" ht="23.25" hidden="false" customHeight="true" outlineLevel="0" collapsed="false">
      <c r="A30" s="21" t="s">
        <v>364</v>
      </c>
      <c r="B30" s="22" t="str">
        <f aca="false">IF(A30="","",IFERROR(IF(INDEX(NHÂN_VẬT!$B$6:$B$34,MATCH(A30,NHÂN_VẬT!$A$6:$A$34,0))="","",INDEX(NHÂN_VẬT!$B$6:$B$34,MATCH(A30,NHÂN_VẬT!$A$6:$A$34,0))),"mã không có"))</f>
        <v>HCM-PHỤ KHO ANH LÂM</v>
      </c>
      <c r="C30" s="21" t="s">
        <v>438</v>
      </c>
      <c r="D30" s="21" t="s">
        <v>530</v>
      </c>
      <c r="E30" s="21" t="s">
        <v>421</v>
      </c>
      <c r="F30" s="21" t="s">
        <v>537</v>
      </c>
      <c r="G30" s="21" t="s">
        <v>545</v>
      </c>
      <c r="H30" s="21"/>
      <c r="I30" s="21"/>
      <c r="J30" s="21"/>
      <c r="K30" s="21"/>
      <c r="L30" s="21"/>
      <c r="M30" s="21"/>
      <c r="N30" s="21"/>
      <c r="O30" s="25"/>
      <c r="P30" s="25"/>
      <c r="Q30" s="25" t="n">
        <v>0.1</v>
      </c>
      <c r="R30" s="21" t="n">
        <v>1</v>
      </c>
      <c r="S30" s="21" t="s">
        <v>546</v>
      </c>
      <c r="T30" s="32" t="str">
        <f aca="false">IF(L30="","",IF(K30="× Công của người xả",L30*MAX(1,N(H30))/2*100,IF(OR(K30="% máu tối đa của người xả",K30="% máu tối đa của người nhận"),L30*500,"")))</f>
        <v/>
      </c>
      <c r="U30" s="32" t="str">
        <f aca="false">IF(M30="","",IF(K30="× Công của người xả",M30*MAX(1,N(I30))/2*100,IF(OR(K30="% máu tối đa của người xả",K30="% máu tối đa của người nhận"),M30*500,"")))</f>
        <v/>
      </c>
      <c r="V30" s="32" t="str">
        <f aca="false">IF(N30="","",IF(K30="× Công của người xả",N30*MAX(1,N(J30))/2*100,IF(OR(K30="% máu tối đa của người xả",K30="% máu tối đa của người nhận"),N30*500,"")))</f>
        <v/>
      </c>
      <c r="W30" s="21" t="s">
        <v>579</v>
      </c>
    </row>
    <row r="31" customFormat="false" ht="23.25" hidden="false" customHeight="true" outlineLevel="0" collapsed="false">
      <c r="A31" s="21" t="s">
        <v>364</v>
      </c>
      <c r="B31" s="22" t="str">
        <f aca="false">IF(A31="","",IFERROR(IF(INDEX(NHÂN_VẬT!$B$6:$B$34,MATCH(A31,NHÂN_VẬT!$A$6:$A$34,0))="","",INDEX(NHÂN_VẬT!$B$6:$B$34,MATCH(A31,NHÂN_VẬT!$A$6:$A$34,0))),"mã không có"))</f>
        <v>HCM-PHỤ KHO ANH LÂM</v>
      </c>
      <c r="C31" s="21" t="s">
        <v>444</v>
      </c>
      <c r="D31" s="21" t="s">
        <v>551</v>
      </c>
      <c r="E31" s="21" t="s">
        <v>421</v>
      </c>
      <c r="F31" s="21" t="s">
        <v>537</v>
      </c>
      <c r="G31" s="21" t="s">
        <v>531</v>
      </c>
      <c r="H31" s="21"/>
      <c r="I31" s="21"/>
      <c r="J31" s="21"/>
      <c r="K31" s="21"/>
      <c r="L31" s="21"/>
      <c r="M31" s="21"/>
      <c r="N31" s="21"/>
      <c r="O31" s="25"/>
      <c r="P31" s="25"/>
      <c r="Q31" s="25" t="n">
        <v>0.3</v>
      </c>
      <c r="R31" s="21" t="n">
        <v>2</v>
      </c>
      <c r="S31" s="21" t="s">
        <v>563</v>
      </c>
      <c r="T31" s="32" t="str">
        <f aca="false">IF(L31="","",IF(K31="× Công của người xả",L31*MAX(1,N(H31))/2*100,IF(OR(K31="% máu tối đa của người xả",K31="% máu tối đa của người nhận"),L31*500,"")))</f>
        <v/>
      </c>
      <c r="U31" s="32" t="str">
        <f aca="false">IF(M31="","",IF(K31="× Công của người xả",M31*MAX(1,N(I31))/2*100,IF(OR(K31="% máu tối đa của người xả",K31="% máu tối đa của người nhận"),M31*500,"")))</f>
        <v/>
      </c>
      <c r="V31" s="32" t="str">
        <f aca="false">IF(N31="","",IF(K31="× Công của người xả",N31*MAX(1,N(J31))/2*100,IF(OR(K31="% máu tối đa của người xả",K31="% máu tối đa của người nhận"),N31*500,"")))</f>
        <v/>
      </c>
      <c r="W31" s="21" t="s">
        <v>580</v>
      </c>
    </row>
    <row r="32" customFormat="false" ht="34.5" hidden="false" customHeight="true" outlineLevel="0" collapsed="false">
      <c r="A32" s="21" t="s">
        <v>369</v>
      </c>
      <c r="B32" s="22" t="str">
        <f aca="false">IF(A32="","",IFERROR(IF(INDEX(NHÂN_VẬT!$B$6:$B$34,MATCH(A32,NHÂN_VẬT!$A$6:$A$34,0))="","",INDEX(NHÂN_VẬT!$B$6:$B$34,MATCH(A32,NHÂN_VẬT!$A$6:$A$34,0))),"mã không có"))</f>
        <v>HCM- BÍCH THÍCH CHAN</v>
      </c>
      <c r="C32" s="21" t="s">
        <v>438</v>
      </c>
      <c r="D32" s="21" t="s">
        <v>530</v>
      </c>
      <c r="E32" s="21" t="s">
        <v>418</v>
      </c>
      <c r="F32" s="21" t="s">
        <v>541</v>
      </c>
      <c r="G32" s="21" t="s">
        <v>555</v>
      </c>
      <c r="H32" s="21" t="n">
        <v>2</v>
      </c>
      <c r="I32" s="21" t="n">
        <v>2</v>
      </c>
      <c r="J32" s="21" t="n">
        <v>2</v>
      </c>
      <c r="K32" s="21" t="s">
        <v>543</v>
      </c>
      <c r="L32" s="27" t="n">
        <v>1</v>
      </c>
      <c r="M32" s="27" t="n">
        <v>1.2</v>
      </c>
      <c r="N32" s="27" t="n">
        <v>1.5</v>
      </c>
      <c r="O32" s="25"/>
      <c r="P32" s="25"/>
      <c r="Q32" s="25"/>
      <c r="R32" s="21"/>
      <c r="S32" s="21"/>
      <c r="T32" s="32" t="n">
        <f aca="false">IF(L32="","",IF(K32="× Công của người xả",L32*MAX(1,N(H32))/2*100,IF(OR(K32="% máu tối đa của người xả",K32="% máu tối đa của người nhận"),L32*500,"")))</f>
        <v>100</v>
      </c>
      <c r="U32" s="32" t="n">
        <f aca="false">IF(M32="","",IF(K32="× Công của người xả",M32*MAX(1,N(I32))/2*100,IF(OR(K32="% máu tối đa của người xả",K32="% máu tối đa của người nhận"),M32*500,"")))</f>
        <v>120</v>
      </c>
      <c r="V32" s="32" t="n">
        <f aca="false">IF(N32="","",IF(K32="× Công của người xả",N32*MAX(1,N(J32))/2*100,IF(OR(K32="% máu tối đa của người xả",K32="% máu tối đa của người nhận"),N32*500,"")))</f>
        <v>150</v>
      </c>
      <c r="W32" s="21" t="s">
        <v>581</v>
      </c>
    </row>
    <row r="33" customFormat="false" ht="23.25" hidden="false" customHeight="true" outlineLevel="0" collapsed="false">
      <c r="A33" s="21" t="s">
        <v>369</v>
      </c>
      <c r="B33" s="22" t="str">
        <f aca="false">IF(A33="","",IFERROR(IF(INDEX(NHÂN_VẬT!$B$6:$B$34,MATCH(A33,NHÂN_VẬT!$A$6:$A$34,0))="","",INDEX(NHÂN_VẬT!$B$6:$B$34,MATCH(A33,NHÂN_VẬT!$A$6:$A$34,0))),"mã không có"))</f>
        <v>HCM- BÍCH THÍCH CHAN</v>
      </c>
      <c r="C33" s="21" t="s">
        <v>438</v>
      </c>
      <c r="D33" s="21" t="s">
        <v>530</v>
      </c>
      <c r="E33" s="21" t="s">
        <v>418</v>
      </c>
      <c r="F33" s="21" t="s">
        <v>537</v>
      </c>
      <c r="G33" s="21" t="s">
        <v>545</v>
      </c>
      <c r="H33" s="21"/>
      <c r="I33" s="21"/>
      <c r="J33" s="21"/>
      <c r="K33" s="21"/>
      <c r="L33" s="21"/>
      <c r="M33" s="21"/>
      <c r="N33" s="21"/>
      <c r="O33" s="25" t="n">
        <v>0.2</v>
      </c>
      <c r="P33" s="25" t="n">
        <v>0.22</v>
      </c>
      <c r="Q33" s="25" t="n">
        <v>0.25</v>
      </c>
      <c r="R33" s="21" t="n">
        <v>1</v>
      </c>
      <c r="S33" s="21" t="s">
        <v>255</v>
      </c>
      <c r="T33" s="32" t="str">
        <f aca="false">IF(L33="","",IF(K33="× Công của người xả",L33*MAX(1,N(H33))/2*100,IF(OR(K33="% máu tối đa của người xả",K33="% máu tối đa của người nhận"),L33*500,"")))</f>
        <v/>
      </c>
      <c r="U33" s="32" t="str">
        <f aca="false">IF(M33="","",IF(K33="× Công của người xả",M33*MAX(1,N(I33))/2*100,IF(OR(K33="% máu tối đa của người xả",K33="% máu tối đa của người nhận"),M33*500,"")))</f>
        <v/>
      </c>
      <c r="V33" s="32" t="str">
        <f aca="false">IF(N33="","",IF(K33="× Công của người xả",N33*MAX(1,N(J33))/2*100,IF(OR(K33="% máu tối đa của người xả",K33="% máu tối đa của người nhận"),N33*500,"")))</f>
        <v/>
      </c>
      <c r="W33" s="21" t="s">
        <v>582</v>
      </c>
    </row>
    <row r="34" customFormat="false" ht="45.75" hidden="false" customHeight="true" outlineLevel="0" collapsed="false">
      <c r="A34" s="21" t="s">
        <v>369</v>
      </c>
      <c r="B34" s="22" t="str">
        <f aca="false">IF(A34="","",IFERROR(IF(INDEX(NHÂN_VẬT!$B$6:$B$34,MATCH(A34,NHÂN_VẬT!$A$6:$A$34,0))="","",INDEX(NHÂN_VẬT!$B$6:$B$34,MATCH(A34,NHÂN_VẬT!$A$6:$A$34,0))),"mã không có"))</f>
        <v>HCM- BÍCH THÍCH CHAN</v>
      </c>
      <c r="C34" s="21" t="s">
        <v>444</v>
      </c>
      <c r="D34" s="21" t="s">
        <v>560</v>
      </c>
      <c r="E34" s="21" t="s">
        <v>421</v>
      </c>
      <c r="F34" s="21" t="s">
        <v>583</v>
      </c>
      <c r="G34" s="21" t="s">
        <v>584</v>
      </c>
      <c r="H34" s="21"/>
      <c r="I34" s="21"/>
      <c r="J34" s="21"/>
      <c r="K34" s="21" t="s">
        <v>535</v>
      </c>
      <c r="L34" s="21"/>
      <c r="M34" s="21"/>
      <c r="N34" s="24" t="n">
        <v>0.2</v>
      </c>
      <c r="O34" s="25"/>
      <c r="P34" s="25"/>
      <c r="Q34" s="25" t="n">
        <v>0.2</v>
      </c>
      <c r="R34" s="21"/>
      <c r="S34" s="21"/>
      <c r="T34" s="32" t="str">
        <f aca="false">IF(L34="","",IF(K34="× Công của người xả",L34*MAX(1,N(H34))/2*100,IF(OR(K34="% máu tối đa của người xả",K34="% máu tối đa của người nhận"),L34*500,"")))</f>
        <v/>
      </c>
      <c r="U34" s="32" t="str">
        <f aca="false">IF(M34="","",IF(K34="× Công của người xả",M34*MAX(1,N(I34))/2*100,IF(OR(K34="% máu tối đa của người xả",K34="% máu tối đa của người nhận"),M34*500,"")))</f>
        <v/>
      </c>
      <c r="V34" s="32" t="n">
        <f aca="false">IF(N34="","",IF(K34="× Công của người xả",N34*MAX(1,N(J34))/2*100,IF(OR(K34="% máu tối đa của người xả",K34="% máu tối đa của người nhận"),N34*500,"")))</f>
        <v>100</v>
      </c>
      <c r="W34" s="21" t="s">
        <v>585</v>
      </c>
    </row>
    <row r="35" customFormat="false" ht="15" hidden="false" customHeight="true" outlineLevel="0" collapsed="false">
      <c r="A35" s="21"/>
      <c r="B35" s="22" t="str">
        <f aca="false">IF(A35="","",IFERROR(IF(INDEX(NHÂN_VẬT!$B$6:$B$34,MATCH(A35,NHÂN_VẬT!$A$6:$A$34,0))="","",INDEX(NHÂN_VẬT!$B$6:$B$34,MATCH(A35,NHÂN_VẬT!$A$6:$A$34,0))),"mã không có"))</f>
        <v/>
      </c>
      <c r="C35" s="21"/>
      <c r="D35" s="21"/>
      <c r="E35" s="21"/>
      <c r="F35" s="21"/>
      <c r="G35" s="21"/>
      <c r="H35" s="21"/>
      <c r="I35" s="21"/>
      <c r="J35" s="21"/>
      <c r="K35" s="21"/>
      <c r="L35" s="21"/>
      <c r="M35" s="21"/>
      <c r="N35" s="21"/>
      <c r="O35" s="25"/>
      <c r="P35" s="25"/>
      <c r="Q35" s="25"/>
      <c r="R35" s="21"/>
      <c r="S35" s="21"/>
      <c r="T35" s="32" t="str">
        <f aca="false">IF(L35="","",IF(K35="× Công của người xả",L35*MAX(1,N(H35))/2*100,IF(OR(K35="% máu tối đa của người xả",K35="% máu tối đa của người nhận"),L35*500,"")))</f>
        <v/>
      </c>
      <c r="U35" s="32" t="str">
        <f aca="false">IF(M35="","",IF(K35="× Công của người xả",M35*MAX(1,N(I35))/2*100,IF(OR(K35="% máu tối đa của người xả",K35="% máu tối đa của người nhận"),M35*500,"")))</f>
        <v/>
      </c>
      <c r="V35" s="32" t="str">
        <f aca="false">IF(N35="","",IF(K35="× Công của người xả",N35*MAX(1,N(J35))/2*100,IF(OR(K35="% máu tối đa của người xả",K35="% máu tối đa của người nhận"),N35*500,"")))</f>
        <v/>
      </c>
      <c r="W35" s="21"/>
    </row>
    <row r="36" customFormat="false" ht="15" hidden="false" customHeight="true" outlineLevel="0" collapsed="false">
      <c r="A36" s="21"/>
      <c r="B36" s="22" t="str">
        <f aca="false">IF(A36="","",IFERROR(IF(INDEX(NHÂN_VẬT!$B$6:$B$34,MATCH(A36,NHÂN_VẬT!$A$6:$A$34,0))="","",INDEX(NHÂN_VẬT!$B$6:$B$34,MATCH(A36,NHÂN_VẬT!$A$6:$A$34,0))),"mã không có"))</f>
        <v/>
      </c>
      <c r="C36" s="21"/>
      <c r="D36" s="21"/>
      <c r="E36" s="21"/>
      <c r="F36" s="21"/>
      <c r="G36" s="21"/>
      <c r="H36" s="21"/>
      <c r="I36" s="21"/>
      <c r="J36" s="21"/>
      <c r="K36" s="21"/>
      <c r="L36" s="21"/>
      <c r="M36" s="21"/>
      <c r="N36" s="21"/>
      <c r="O36" s="25"/>
      <c r="P36" s="25"/>
      <c r="Q36" s="25"/>
      <c r="R36" s="21"/>
      <c r="S36" s="21"/>
      <c r="T36" s="32" t="str">
        <f aca="false">IF(L36="","",IF(K36="× Công của người xả",L36*MAX(1,N(H36))/2*100,IF(OR(K36="% máu tối đa của người xả",K36="% máu tối đa của người nhận"),L36*500,"")))</f>
        <v/>
      </c>
      <c r="U36" s="32" t="str">
        <f aca="false">IF(M36="","",IF(K36="× Công của người xả",M36*MAX(1,N(I36))/2*100,IF(OR(K36="% máu tối đa của người xả",K36="% máu tối đa của người nhận"),M36*500,"")))</f>
        <v/>
      </c>
      <c r="V36" s="32" t="str">
        <f aca="false">IF(N36="","",IF(K36="× Công của người xả",N36*MAX(1,N(J36))/2*100,IF(OR(K36="% máu tối đa của người xả",K36="% máu tối đa của người nhận"),N36*500,"")))</f>
        <v/>
      </c>
      <c r="W36" s="21"/>
    </row>
    <row r="37" customFormat="false" ht="15" hidden="false" customHeight="true" outlineLevel="0" collapsed="false">
      <c r="A37" s="21"/>
      <c r="B37" s="22" t="str">
        <f aca="false">IF(A37="","",IFERROR(IF(INDEX(NHÂN_VẬT!$B$6:$B$34,MATCH(A37,NHÂN_VẬT!$A$6:$A$34,0))="","",INDEX(NHÂN_VẬT!$B$6:$B$34,MATCH(A37,NHÂN_VẬT!$A$6:$A$34,0))),"mã không có"))</f>
        <v/>
      </c>
      <c r="C37" s="21"/>
      <c r="D37" s="21"/>
      <c r="E37" s="21"/>
      <c r="F37" s="21"/>
      <c r="G37" s="21"/>
      <c r="H37" s="21"/>
      <c r="I37" s="21"/>
      <c r="J37" s="21"/>
      <c r="K37" s="21"/>
      <c r="L37" s="21"/>
      <c r="M37" s="21"/>
      <c r="N37" s="21"/>
      <c r="O37" s="25"/>
      <c r="P37" s="25"/>
      <c r="Q37" s="25"/>
      <c r="R37" s="21"/>
      <c r="S37" s="21"/>
      <c r="T37" s="32" t="str">
        <f aca="false">IF(L37="","",IF(K37="× Công của người xả",L37*MAX(1,N(H37))/2*100,IF(OR(K37="% máu tối đa của người xả",K37="% máu tối đa của người nhận"),L37*500,"")))</f>
        <v/>
      </c>
      <c r="U37" s="32" t="str">
        <f aca="false">IF(M37="","",IF(K37="× Công của người xả",M37*MAX(1,N(I37))/2*100,IF(OR(K37="% máu tối đa của người xả",K37="% máu tối đa của người nhận"),M37*500,"")))</f>
        <v/>
      </c>
      <c r="V37" s="32" t="str">
        <f aca="false">IF(N37="","",IF(K37="× Công của người xả",N37*MAX(1,N(J37))/2*100,IF(OR(K37="% máu tối đa của người xả",K37="% máu tối đa của người nhận"),N37*500,"")))</f>
        <v/>
      </c>
      <c r="W37" s="21"/>
    </row>
    <row r="38" customFormat="false" ht="15" hidden="false" customHeight="true" outlineLevel="0" collapsed="false">
      <c r="A38" s="21"/>
      <c r="B38" s="22" t="str">
        <f aca="false">IF(A38="","",IFERROR(IF(INDEX(NHÂN_VẬT!$B$6:$B$34,MATCH(A38,NHÂN_VẬT!$A$6:$A$34,0))="","",INDEX(NHÂN_VẬT!$B$6:$B$34,MATCH(A38,NHÂN_VẬT!$A$6:$A$34,0))),"mã không có"))</f>
        <v/>
      </c>
      <c r="C38" s="21"/>
      <c r="D38" s="21"/>
      <c r="E38" s="21"/>
      <c r="F38" s="21"/>
      <c r="G38" s="21"/>
      <c r="H38" s="21"/>
      <c r="I38" s="21"/>
      <c r="J38" s="21"/>
      <c r="K38" s="21"/>
      <c r="L38" s="21"/>
      <c r="M38" s="21"/>
      <c r="N38" s="21"/>
      <c r="O38" s="25"/>
      <c r="P38" s="25"/>
      <c r="Q38" s="25"/>
      <c r="R38" s="21"/>
      <c r="S38" s="21"/>
      <c r="T38" s="32" t="str">
        <f aca="false">IF(L38="","",IF(K38="× Công của người xả",L38*MAX(1,N(H38))/2*100,IF(OR(K38="% máu tối đa của người xả",K38="% máu tối đa của người nhận"),L38*500,"")))</f>
        <v/>
      </c>
      <c r="U38" s="32" t="str">
        <f aca="false">IF(M38="","",IF(K38="× Công của người xả",M38*MAX(1,N(I38))/2*100,IF(OR(K38="% máu tối đa của người xả",K38="% máu tối đa của người nhận"),M38*500,"")))</f>
        <v/>
      </c>
      <c r="V38" s="32" t="str">
        <f aca="false">IF(N38="","",IF(K38="× Công của người xả",N38*MAX(1,N(J38))/2*100,IF(OR(K38="% máu tối đa của người xả",K38="% máu tối đa của người nhận"),N38*500,"")))</f>
        <v/>
      </c>
      <c r="W38" s="21"/>
    </row>
    <row r="39" customFormat="false" ht="15" hidden="false" customHeight="true" outlineLevel="0" collapsed="false">
      <c r="A39" s="21"/>
      <c r="B39" s="22" t="str">
        <f aca="false">IF(A39="","",IFERROR(IF(INDEX(NHÂN_VẬT!$B$6:$B$34,MATCH(A39,NHÂN_VẬT!$A$6:$A$34,0))="","",INDEX(NHÂN_VẬT!$B$6:$B$34,MATCH(A39,NHÂN_VẬT!$A$6:$A$34,0))),"mã không có"))</f>
        <v/>
      </c>
      <c r="C39" s="21"/>
      <c r="D39" s="21"/>
      <c r="E39" s="21"/>
      <c r="F39" s="21"/>
      <c r="G39" s="21"/>
      <c r="H39" s="21"/>
      <c r="I39" s="21"/>
      <c r="J39" s="21"/>
      <c r="K39" s="21"/>
      <c r="L39" s="21"/>
      <c r="M39" s="21"/>
      <c r="N39" s="21"/>
      <c r="O39" s="25"/>
      <c r="P39" s="25"/>
      <c r="Q39" s="25"/>
      <c r="R39" s="21"/>
      <c r="S39" s="21"/>
      <c r="T39" s="32" t="str">
        <f aca="false">IF(L39="","",IF(K39="× Công của người xả",L39*MAX(1,N(H39))/2*100,IF(OR(K39="% máu tối đa của người xả",K39="% máu tối đa của người nhận"),L39*500,"")))</f>
        <v/>
      </c>
      <c r="U39" s="32" t="str">
        <f aca="false">IF(M39="","",IF(K39="× Công của người xả",M39*MAX(1,N(I39))/2*100,IF(OR(K39="% máu tối đa của người xả",K39="% máu tối đa của người nhận"),M39*500,"")))</f>
        <v/>
      </c>
      <c r="V39" s="32" t="str">
        <f aca="false">IF(N39="","",IF(K39="× Công của người xả",N39*MAX(1,N(J39))/2*100,IF(OR(K39="% máu tối đa của người xả",K39="% máu tối đa của người nhận"),N39*500,"")))</f>
        <v/>
      </c>
      <c r="W39" s="21"/>
    </row>
    <row r="40" customFormat="false" ht="15" hidden="false" customHeight="true" outlineLevel="0" collapsed="false">
      <c r="A40" s="21"/>
      <c r="B40" s="22" t="str">
        <f aca="false">IF(A40="","",IFERROR(IF(INDEX(NHÂN_VẬT!$B$6:$B$34,MATCH(A40,NHÂN_VẬT!$A$6:$A$34,0))="","",INDEX(NHÂN_VẬT!$B$6:$B$34,MATCH(A40,NHÂN_VẬT!$A$6:$A$34,0))),"mã không có"))</f>
        <v/>
      </c>
      <c r="C40" s="21"/>
      <c r="D40" s="21"/>
      <c r="E40" s="21"/>
      <c r="F40" s="21"/>
      <c r="G40" s="21"/>
      <c r="H40" s="21"/>
      <c r="I40" s="21"/>
      <c r="J40" s="21"/>
      <c r="K40" s="21"/>
      <c r="L40" s="21"/>
      <c r="M40" s="21"/>
      <c r="N40" s="21"/>
      <c r="O40" s="25"/>
      <c r="P40" s="25"/>
      <c r="Q40" s="25"/>
      <c r="R40" s="21"/>
      <c r="S40" s="21"/>
      <c r="T40" s="32" t="str">
        <f aca="false">IF(L40="","",IF(K40="× Công của người xả",L40*MAX(1,N(H40))/2*100,IF(OR(K40="% máu tối đa của người xả",K40="% máu tối đa của người nhận"),L40*500,"")))</f>
        <v/>
      </c>
      <c r="U40" s="32" t="str">
        <f aca="false">IF(M40="","",IF(K40="× Công của người xả",M40*MAX(1,N(I40))/2*100,IF(OR(K40="% máu tối đa của người xả",K40="% máu tối đa của người nhận"),M40*500,"")))</f>
        <v/>
      </c>
      <c r="V40" s="32" t="str">
        <f aca="false">IF(N40="","",IF(K40="× Công của người xả",N40*MAX(1,N(J40))/2*100,IF(OR(K40="% máu tối đa của người xả",K40="% máu tối đa của người nhận"),N40*500,"")))</f>
        <v/>
      </c>
      <c r="W40" s="21"/>
    </row>
    <row r="41" customFormat="false" ht="15" hidden="false" customHeight="true" outlineLevel="0" collapsed="false">
      <c r="A41" s="21"/>
      <c r="B41" s="22" t="str">
        <f aca="false">IF(A41="","",IFERROR(IF(INDEX(NHÂN_VẬT!$B$6:$B$34,MATCH(A41,NHÂN_VẬT!$A$6:$A$34,0))="","",INDEX(NHÂN_VẬT!$B$6:$B$34,MATCH(A41,NHÂN_VẬT!$A$6:$A$34,0))),"mã không có"))</f>
        <v/>
      </c>
      <c r="C41" s="21"/>
      <c r="D41" s="21"/>
      <c r="E41" s="21"/>
      <c r="F41" s="21"/>
      <c r="G41" s="21"/>
      <c r="H41" s="21"/>
      <c r="I41" s="21"/>
      <c r="J41" s="21"/>
      <c r="K41" s="21"/>
      <c r="L41" s="21"/>
      <c r="M41" s="21"/>
      <c r="N41" s="21"/>
      <c r="O41" s="25"/>
      <c r="P41" s="25"/>
      <c r="Q41" s="25"/>
      <c r="R41" s="21"/>
      <c r="S41" s="21"/>
      <c r="T41" s="32" t="str">
        <f aca="false">IF(L41="","",IF(K41="× Công của người xả",L41*MAX(1,N(H41))/2*100,IF(OR(K41="% máu tối đa của người xả",K41="% máu tối đa của người nhận"),L41*500,"")))</f>
        <v/>
      </c>
      <c r="U41" s="32" t="str">
        <f aca="false">IF(M41="","",IF(K41="× Công của người xả",M41*MAX(1,N(I41))/2*100,IF(OR(K41="% máu tối đa của người xả",K41="% máu tối đa của người nhận"),M41*500,"")))</f>
        <v/>
      </c>
      <c r="V41" s="32" t="str">
        <f aca="false">IF(N41="","",IF(K41="× Công của người xả",N41*MAX(1,N(J41))/2*100,IF(OR(K41="% máu tối đa của người xả",K41="% máu tối đa của người nhận"),N41*500,"")))</f>
        <v/>
      </c>
      <c r="W41" s="21"/>
    </row>
    <row r="42" customFormat="false" ht="15" hidden="false" customHeight="true" outlineLevel="0" collapsed="false">
      <c r="A42" s="21"/>
      <c r="B42" s="22" t="str">
        <f aca="false">IF(A42="","",IFERROR(IF(INDEX(NHÂN_VẬT!$B$6:$B$34,MATCH(A42,NHÂN_VẬT!$A$6:$A$34,0))="","",INDEX(NHÂN_VẬT!$B$6:$B$34,MATCH(A42,NHÂN_VẬT!$A$6:$A$34,0))),"mã không có"))</f>
        <v/>
      </c>
      <c r="C42" s="21"/>
      <c r="D42" s="21"/>
      <c r="E42" s="21"/>
      <c r="F42" s="21"/>
      <c r="G42" s="21"/>
      <c r="H42" s="21"/>
      <c r="I42" s="21"/>
      <c r="J42" s="21"/>
      <c r="K42" s="21"/>
      <c r="L42" s="21"/>
      <c r="M42" s="21"/>
      <c r="N42" s="21"/>
      <c r="O42" s="25"/>
      <c r="P42" s="25"/>
      <c r="Q42" s="25"/>
      <c r="R42" s="21"/>
      <c r="S42" s="21"/>
      <c r="T42" s="32" t="str">
        <f aca="false">IF(L42="","",IF(K42="× Công của người xả",L42*MAX(1,N(H42))/2*100,IF(OR(K42="% máu tối đa của người xả",K42="% máu tối đa của người nhận"),L42*500,"")))</f>
        <v/>
      </c>
      <c r="U42" s="32" t="str">
        <f aca="false">IF(M42="","",IF(K42="× Công của người xả",M42*MAX(1,N(I42))/2*100,IF(OR(K42="% máu tối đa của người xả",K42="% máu tối đa của người nhận"),M42*500,"")))</f>
        <v/>
      </c>
      <c r="V42" s="32" t="str">
        <f aca="false">IF(N42="","",IF(K42="× Công của người xả",N42*MAX(1,N(J42))/2*100,IF(OR(K42="% máu tối đa của người xả",K42="% máu tối đa của người nhận"),N42*500,"")))</f>
        <v/>
      </c>
      <c r="W42" s="21"/>
    </row>
    <row r="43" customFormat="false" ht="15" hidden="false" customHeight="true" outlineLevel="0" collapsed="false">
      <c r="A43" s="21"/>
      <c r="B43" s="22" t="str">
        <f aca="false">IF(A43="","",IFERROR(IF(INDEX(NHÂN_VẬT!$B$6:$B$34,MATCH(A43,NHÂN_VẬT!$A$6:$A$34,0))="","",INDEX(NHÂN_VẬT!$B$6:$B$34,MATCH(A43,NHÂN_VẬT!$A$6:$A$34,0))),"mã không có"))</f>
        <v/>
      </c>
      <c r="C43" s="21"/>
      <c r="D43" s="21"/>
      <c r="E43" s="21"/>
      <c r="F43" s="21"/>
      <c r="G43" s="21"/>
      <c r="H43" s="21"/>
      <c r="I43" s="21"/>
      <c r="J43" s="21"/>
      <c r="K43" s="21"/>
      <c r="L43" s="21"/>
      <c r="M43" s="21"/>
      <c r="N43" s="21"/>
      <c r="O43" s="25"/>
      <c r="P43" s="25"/>
      <c r="Q43" s="25"/>
      <c r="R43" s="21"/>
      <c r="S43" s="21"/>
      <c r="T43" s="32" t="str">
        <f aca="false">IF(L43="","",IF(K43="× Công của người xả",L43*MAX(1,N(H43))/2*100,IF(OR(K43="% máu tối đa của người xả",K43="% máu tối đa của người nhận"),L43*500,"")))</f>
        <v/>
      </c>
      <c r="U43" s="32" t="str">
        <f aca="false">IF(M43="","",IF(K43="× Công của người xả",M43*MAX(1,N(I43))/2*100,IF(OR(K43="% máu tối đa của người xả",K43="% máu tối đa của người nhận"),M43*500,"")))</f>
        <v/>
      </c>
      <c r="V43" s="32" t="str">
        <f aca="false">IF(N43="","",IF(K43="× Công của người xả",N43*MAX(1,N(J43))/2*100,IF(OR(K43="% máu tối đa của người xả",K43="% máu tối đa của người nhận"),N43*500,"")))</f>
        <v/>
      </c>
      <c r="W43" s="21"/>
    </row>
    <row r="44" customFormat="false" ht="15" hidden="false" customHeight="true" outlineLevel="0" collapsed="false">
      <c r="A44" s="21"/>
      <c r="B44" s="22" t="str">
        <f aca="false">IF(A44="","",IFERROR(IF(INDEX(NHÂN_VẬT!$B$6:$B$34,MATCH(A44,NHÂN_VẬT!$A$6:$A$34,0))="","",INDEX(NHÂN_VẬT!$B$6:$B$34,MATCH(A44,NHÂN_VẬT!$A$6:$A$34,0))),"mã không có"))</f>
        <v/>
      </c>
      <c r="C44" s="21"/>
      <c r="D44" s="21"/>
      <c r="E44" s="21"/>
      <c r="F44" s="21"/>
      <c r="G44" s="21"/>
      <c r="H44" s="21"/>
      <c r="I44" s="21"/>
      <c r="J44" s="21"/>
      <c r="K44" s="21"/>
      <c r="L44" s="21"/>
      <c r="M44" s="21"/>
      <c r="N44" s="21"/>
      <c r="O44" s="25"/>
      <c r="P44" s="25"/>
      <c r="Q44" s="25"/>
      <c r="R44" s="21"/>
      <c r="S44" s="21"/>
      <c r="T44" s="32" t="str">
        <f aca="false">IF(L44="","",IF(K44="× Công của người xả",L44*MAX(1,N(H44))/2*100,IF(OR(K44="% máu tối đa của người xả",K44="% máu tối đa của người nhận"),L44*500,"")))</f>
        <v/>
      </c>
      <c r="U44" s="32" t="str">
        <f aca="false">IF(M44="","",IF(K44="× Công của người xả",M44*MAX(1,N(I44))/2*100,IF(OR(K44="% máu tối đa của người xả",K44="% máu tối đa của người nhận"),M44*500,"")))</f>
        <v/>
      </c>
      <c r="V44" s="32" t="str">
        <f aca="false">IF(N44="","",IF(K44="× Công của người xả",N44*MAX(1,N(J44))/2*100,IF(OR(K44="% máu tối đa của người xả",K44="% máu tối đa của người nhận"),N44*500,"")))</f>
        <v/>
      </c>
      <c r="W44" s="21"/>
    </row>
    <row r="45" customFormat="false" ht="15" hidden="false" customHeight="true" outlineLevel="0" collapsed="false">
      <c r="A45" s="21"/>
      <c r="B45" s="22" t="str">
        <f aca="false">IF(A45="","",IFERROR(IF(INDEX(NHÂN_VẬT!$B$6:$B$34,MATCH(A45,NHÂN_VẬT!$A$6:$A$34,0))="","",INDEX(NHÂN_VẬT!$B$6:$B$34,MATCH(A45,NHÂN_VẬT!$A$6:$A$34,0))),"mã không có"))</f>
        <v/>
      </c>
      <c r="C45" s="21"/>
      <c r="D45" s="21"/>
      <c r="E45" s="21"/>
      <c r="F45" s="21"/>
      <c r="G45" s="21"/>
      <c r="H45" s="21"/>
      <c r="I45" s="21"/>
      <c r="J45" s="21"/>
      <c r="K45" s="21"/>
      <c r="L45" s="21"/>
      <c r="M45" s="21"/>
      <c r="N45" s="21"/>
      <c r="O45" s="25"/>
      <c r="P45" s="25"/>
      <c r="Q45" s="25"/>
      <c r="R45" s="21"/>
      <c r="S45" s="21"/>
      <c r="T45" s="32" t="str">
        <f aca="false">IF(L45="","",IF(K45="× Công của người xả",L45*MAX(1,N(H45))/2*100,IF(OR(K45="% máu tối đa của người xả",K45="% máu tối đa của người nhận"),L45*500,"")))</f>
        <v/>
      </c>
      <c r="U45" s="32" t="str">
        <f aca="false">IF(M45="","",IF(K45="× Công của người xả",M45*MAX(1,N(I45))/2*100,IF(OR(K45="% máu tối đa của người xả",K45="% máu tối đa của người nhận"),M45*500,"")))</f>
        <v/>
      </c>
      <c r="V45" s="32" t="str">
        <f aca="false">IF(N45="","",IF(K45="× Công của người xả",N45*MAX(1,N(J45))/2*100,IF(OR(K45="% máu tối đa của người xả",K45="% máu tối đa của người nhận"),N45*500,"")))</f>
        <v/>
      </c>
      <c r="W45" s="21"/>
    </row>
    <row r="46" customFormat="false" ht="15" hidden="false" customHeight="true" outlineLevel="0" collapsed="false">
      <c r="A46" s="21"/>
      <c r="B46" s="22" t="str">
        <f aca="false">IF(A46="","",IFERROR(IF(INDEX(NHÂN_VẬT!$B$6:$B$34,MATCH(A46,NHÂN_VẬT!$A$6:$A$34,0))="","",INDEX(NHÂN_VẬT!$B$6:$B$34,MATCH(A46,NHÂN_VẬT!$A$6:$A$34,0))),"mã không có"))</f>
        <v/>
      </c>
      <c r="C46" s="21"/>
      <c r="D46" s="21"/>
      <c r="E46" s="21"/>
      <c r="F46" s="21"/>
      <c r="G46" s="21"/>
      <c r="H46" s="21"/>
      <c r="I46" s="21"/>
      <c r="J46" s="21"/>
      <c r="K46" s="21"/>
      <c r="L46" s="21"/>
      <c r="M46" s="21"/>
      <c r="N46" s="21"/>
      <c r="O46" s="25"/>
      <c r="P46" s="25"/>
      <c r="Q46" s="25"/>
      <c r="R46" s="21"/>
      <c r="S46" s="21"/>
      <c r="T46" s="32" t="str">
        <f aca="false">IF(L46="","",IF(K46="× Công của người xả",L46*MAX(1,N(H46))/2*100,IF(OR(K46="% máu tối đa của người xả",K46="% máu tối đa của người nhận"),L46*500,"")))</f>
        <v/>
      </c>
      <c r="U46" s="32" t="str">
        <f aca="false">IF(M46="","",IF(K46="× Công của người xả",M46*MAX(1,N(I46))/2*100,IF(OR(K46="% máu tối đa của người xả",K46="% máu tối đa của người nhận"),M46*500,"")))</f>
        <v/>
      </c>
      <c r="V46" s="32" t="str">
        <f aca="false">IF(N46="","",IF(K46="× Công của người xả",N46*MAX(1,N(J46))/2*100,IF(OR(K46="% máu tối đa của người xả",K46="% máu tối đa của người nhận"),N46*500,"")))</f>
        <v/>
      </c>
      <c r="W46" s="21"/>
    </row>
    <row r="47" customFormat="false" ht="15" hidden="false" customHeight="true" outlineLevel="0" collapsed="false">
      <c r="A47" s="21"/>
      <c r="B47" s="22" t="str">
        <f aca="false">IF(A47="","",IFERROR(IF(INDEX(NHÂN_VẬT!$B$6:$B$34,MATCH(A47,NHÂN_VẬT!$A$6:$A$34,0))="","",INDEX(NHÂN_VẬT!$B$6:$B$34,MATCH(A47,NHÂN_VẬT!$A$6:$A$34,0))),"mã không có"))</f>
        <v/>
      </c>
      <c r="C47" s="21"/>
      <c r="D47" s="21"/>
      <c r="E47" s="21"/>
      <c r="F47" s="21"/>
      <c r="G47" s="21"/>
      <c r="H47" s="21"/>
      <c r="I47" s="21"/>
      <c r="J47" s="21"/>
      <c r="K47" s="21"/>
      <c r="L47" s="21"/>
      <c r="M47" s="21"/>
      <c r="N47" s="21"/>
      <c r="O47" s="25"/>
      <c r="P47" s="25"/>
      <c r="Q47" s="25"/>
      <c r="R47" s="21"/>
      <c r="S47" s="21"/>
      <c r="T47" s="32" t="str">
        <f aca="false">IF(L47="","",IF(K47="× Công của người xả",L47*MAX(1,N(H47))/2*100,IF(OR(K47="% máu tối đa của người xả",K47="% máu tối đa của người nhận"),L47*500,"")))</f>
        <v/>
      </c>
      <c r="U47" s="32" t="str">
        <f aca="false">IF(M47="","",IF(K47="× Công của người xả",M47*MAX(1,N(I47))/2*100,IF(OR(K47="% máu tối đa của người xả",K47="% máu tối đa của người nhận"),M47*500,"")))</f>
        <v/>
      </c>
      <c r="V47" s="32" t="str">
        <f aca="false">IF(N47="","",IF(K47="× Công của người xả",N47*MAX(1,N(J47))/2*100,IF(OR(K47="% máu tối đa của người xả",K47="% máu tối đa của người nhận"),N47*500,"")))</f>
        <v/>
      </c>
      <c r="W47" s="21"/>
    </row>
    <row r="48" customFormat="false" ht="15" hidden="false" customHeight="true" outlineLevel="0" collapsed="false">
      <c r="A48" s="21"/>
      <c r="B48" s="22" t="str">
        <f aca="false">IF(A48="","",IFERROR(IF(INDEX(NHÂN_VẬT!$B$6:$B$34,MATCH(A48,NHÂN_VẬT!$A$6:$A$34,0))="","",INDEX(NHÂN_VẬT!$B$6:$B$34,MATCH(A48,NHÂN_VẬT!$A$6:$A$34,0))),"mã không có"))</f>
        <v/>
      </c>
      <c r="C48" s="21"/>
      <c r="D48" s="21"/>
      <c r="E48" s="21"/>
      <c r="F48" s="21"/>
      <c r="G48" s="21"/>
      <c r="H48" s="21"/>
      <c r="I48" s="21"/>
      <c r="J48" s="21"/>
      <c r="K48" s="21"/>
      <c r="L48" s="21"/>
      <c r="M48" s="21"/>
      <c r="N48" s="21"/>
      <c r="O48" s="25"/>
      <c r="P48" s="25"/>
      <c r="Q48" s="25"/>
      <c r="R48" s="21"/>
      <c r="S48" s="21"/>
      <c r="T48" s="32" t="str">
        <f aca="false">IF(L48="","",IF(K48="× Công của người xả",L48*MAX(1,N(H48))/2*100,IF(OR(K48="% máu tối đa của người xả",K48="% máu tối đa của người nhận"),L48*500,"")))</f>
        <v/>
      </c>
      <c r="U48" s="32" t="str">
        <f aca="false">IF(M48="","",IF(K48="× Công của người xả",M48*MAX(1,N(I48))/2*100,IF(OR(K48="% máu tối đa của người xả",K48="% máu tối đa của người nhận"),M48*500,"")))</f>
        <v/>
      </c>
      <c r="V48" s="32" t="str">
        <f aca="false">IF(N48="","",IF(K48="× Công của người xả",N48*MAX(1,N(J48))/2*100,IF(OR(K48="% máu tối đa của người xả",K48="% máu tối đa của người nhận"),N48*500,"")))</f>
        <v/>
      </c>
      <c r="W48" s="21"/>
    </row>
    <row r="49" customFormat="false" ht="15" hidden="false" customHeight="true" outlineLevel="0" collapsed="false">
      <c r="A49" s="21"/>
      <c r="B49" s="22" t="str">
        <f aca="false">IF(A49="","",IFERROR(IF(INDEX(NHÂN_VẬT!$B$6:$B$34,MATCH(A49,NHÂN_VẬT!$A$6:$A$34,0))="","",INDEX(NHÂN_VẬT!$B$6:$B$34,MATCH(A49,NHÂN_VẬT!$A$6:$A$34,0))),"mã không có"))</f>
        <v/>
      </c>
      <c r="C49" s="21"/>
      <c r="D49" s="21"/>
      <c r="E49" s="21"/>
      <c r="F49" s="21"/>
      <c r="G49" s="21"/>
      <c r="H49" s="21"/>
      <c r="I49" s="21"/>
      <c r="J49" s="21"/>
      <c r="K49" s="21"/>
      <c r="L49" s="21"/>
      <c r="M49" s="21"/>
      <c r="N49" s="21"/>
      <c r="O49" s="25"/>
      <c r="P49" s="25"/>
      <c r="Q49" s="25"/>
      <c r="R49" s="21"/>
      <c r="S49" s="21"/>
      <c r="T49" s="32" t="str">
        <f aca="false">IF(L49="","",IF(K49="× Công của người xả",L49*MAX(1,N(H49))/2*100,IF(OR(K49="% máu tối đa của người xả",K49="% máu tối đa của người nhận"),L49*500,"")))</f>
        <v/>
      </c>
      <c r="U49" s="32" t="str">
        <f aca="false">IF(M49="","",IF(K49="× Công của người xả",M49*MAX(1,N(I49))/2*100,IF(OR(K49="% máu tối đa của người xả",K49="% máu tối đa của người nhận"),M49*500,"")))</f>
        <v/>
      </c>
      <c r="V49" s="32" t="str">
        <f aca="false">IF(N49="","",IF(K49="× Công của người xả",N49*MAX(1,N(J49))/2*100,IF(OR(K49="% máu tối đa của người xả",K49="% máu tối đa của người nhận"),N49*500,"")))</f>
        <v/>
      </c>
      <c r="W49" s="21"/>
    </row>
    <row r="50" customFormat="false" ht="15" hidden="false" customHeight="true" outlineLevel="0" collapsed="false">
      <c r="A50" s="21"/>
      <c r="B50" s="22" t="str">
        <f aca="false">IF(A50="","",IFERROR(IF(INDEX(NHÂN_VẬT!$B$6:$B$34,MATCH(A50,NHÂN_VẬT!$A$6:$A$34,0))="","",INDEX(NHÂN_VẬT!$B$6:$B$34,MATCH(A50,NHÂN_VẬT!$A$6:$A$34,0))),"mã không có"))</f>
        <v/>
      </c>
      <c r="C50" s="21"/>
      <c r="D50" s="21"/>
      <c r="E50" s="21"/>
      <c r="F50" s="21"/>
      <c r="G50" s="21"/>
      <c r="H50" s="21"/>
      <c r="I50" s="21"/>
      <c r="J50" s="21"/>
      <c r="K50" s="21"/>
      <c r="L50" s="21"/>
      <c r="M50" s="21"/>
      <c r="N50" s="21"/>
      <c r="O50" s="25"/>
      <c r="P50" s="25"/>
      <c r="Q50" s="25"/>
      <c r="R50" s="21"/>
      <c r="S50" s="21"/>
      <c r="T50" s="32" t="str">
        <f aca="false">IF(L50="","",IF(K50="× Công của người xả",L50*MAX(1,N(H50))/2*100,IF(OR(K50="% máu tối đa của người xả",K50="% máu tối đa của người nhận"),L50*500,"")))</f>
        <v/>
      </c>
      <c r="U50" s="32" t="str">
        <f aca="false">IF(M50="","",IF(K50="× Công của người xả",M50*MAX(1,N(I50))/2*100,IF(OR(K50="% máu tối đa của người xả",K50="% máu tối đa của người nhận"),M50*500,"")))</f>
        <v/>
      </c>
      <c r="V50" s="32" t="str">
        <f aca="false">IF(N50="","",IF(K50="× Công của người xả",N50*MAX(1,N(J50))/2*100,IF(OR(K50="% máu tối đa của người xả",K50="% máu tối đa của người nhận"),N50*500,"")))</f>
        <v/>
      </c>
      <c r="W50" s="21"/>
    </row>
    <row r="51" customFormat="false" ht="15" hidden="false" customHeight="true" outlineLevel="0" collapsed="false">
      <c r="A51" s="21"/>
      <c r="B51" s="22" t="str">
        <f aca="false">IF(A51="","",IFERROR(IF(INDEX(NHÂN_VẬT!$B$6:$B$34,MATCH(A51,NHÂN_VẬT!$A$6:$A$34,0))="","",INDEX(NHÂN_VẬT!$B$6:$B$34,MATCH(A51,NHÂN_VẬT!$A$6:$A$34,0))),"mã không có"))</f>
        <v/>
      </c>
      <c r="C51" s="21"/>
      <c r="D51" s="21"/>
      <c r="E51" s="21"/>
      <c r="F51" s="21"/>
      <c r="G51" s="21"/>
      <c r="H51" s="21"/>
      <c r="I51" s="21"/>
      <c r="J51" s="21"/>
      <c r="K51" s="21"/>
      <c r="L51" s="21"/>
      <c r="M51" s="21"/>
      <c r="N51" s="21"/>
      <c r="O51" s="25"/>
      <c r="P51" s="25"/>
      <c r="Q51" s="25"/>
      <c r="R51" s="21"/>
      <c r="S51" s="21"/>
      <c r="T51" s="32" t="str">
        <f aca="false">IF(L51="","",IF(K51="× Công của người xả",L51*MAX(1,N(H51))/2*100,IF(OR(K51="% máu tối đa của người xả",K51="% máu tối đa của người nhận"),L51*500,"")))</f>
        <v/>
      </c>
      <c r="U51" s="32" t="str">
        <f aca="false">IF(M51="","",IF(K51="× Công của người xả",M51*MAX(1,N(I51))/2*100,IF(OR(K51="% máu tối đa của người xả",K51="% máu tối đa của người nhận"),M51*500,"")))</f>
        <v/>
      </c>
      <c r="V51" s="32" t="str">
        <f aca="false">IF(N51="","",IF(K51="× Công của người xả",N51*MAX(1,N(J51))/2*100,IF(OR(K51="% máu tối đa của người xả",K51="% máu tối đa của người nhận"),N51*500,"")))</f>
        <v/>
      </c>
      <c r="W51" s="21"/>
    </row>
    <row r="52" customFormat="false" ht="15" hidden="false" customHeight="true" outlineLevel="0" collapsed="false">
      <c r="A52" s="21"/>
      <c r="B52" s="22" t="str">
        <f aca="false">IF(A52="","",IFERROR(IF(INDEX(NHÂN_VẬT!$B$6:$B$34,MATCH(A52,NHÂN_VẬT!$A$6:$A$34,0))="","",INDEX(NHÂN_VẬT!$B$6:$B$34,MATCH(A52,NHÂN_VẬT!$A$6:$A$34,0))),"mã không có"))</f>
        <v/>
      </c>
      <c r="C52" s="21"/>
      <c r="D52" s="21"/>
      <c r="E52" s="21"/>
      <c r="F52" s="21"/>
      <c r="G52" s="21"/>
      <c r="H52" s="21"/>
      <c r="I52" s="21"/>
      <c r="J52" s="21"/>
      <c r="K52" s="21"/>
      <c r="L52" s="21"/>
      <c r="M52" s="21"/>
      <c r="N52" s="21"/>
      <c r="O52" s="25"/>
      <c r="P52" s="25"/>
      <c r="Q52" s="25"/>
      <c r="R52" s="21"/>
      <c r="S52" s="21"/>
      <c r="T52" s="32" t="str">
        <f aca="false">IF(L52="","",IF(K52="× Công của người xả",L52*MAX(1,N(H52))/2*100,IF(OR(K52="% máu tối đa của người xả",K52="% máu tối đa của người nhận"),L52*500,"")))</f>
        <v/>
      </c>
      <c r="U52" s="32" t="str">
        <f aca="false">IF(M52="","",IF(K52="× Công của người xả",M52*MAX(1,N(I52))/2*100,IF(OR(K52="% máu tối đa của người xả",K52="% máu tối đa của người nhận"),M52*500,"")))</f>
        <v/>
      </c>
      <c r="V52" s="32" t="str">
        <f aca="false">IF(N52="","",IF(K52="× Công của người xả",N52*MAX(1,N(J52))/2*100,IF(OR(K52="% máu tối đa của người xả",K52="% máu tối đa của người nhận"),N52*500,"")))</f>
        <v/>
      </c>
      <c r="W52" s="21"/>
    </row>
    <row r="53" customFormat="false" ht="15" hidden="false" customHeight="true" outlineLevel="0" collapsed="false">
      <c r="A53" s="21"/>
      <c r="B53" s="22" t="str">
        <f aca="false">IF(A53="","",IFERROR(IF(INDEX(NHÂN_VẬT!$B$6:$B$34,MATCH(A53,NHÂN_VẬT!$A$6:$A$34,0))="","",INDEX(NHÂN_VẬT!$B$6:$B$34,MATCH(A53,NHÂN_VẬT!$A$6:$A$34,0))),"mã không có"))</f>
        <v/>
      </c>
      <c r="C53" s="21"/>
      <c r="D53" s="21"/>
      <c r="E53" s="21"/>
      <c r="F53" s="21"/>
      <c r="G53" s="21"/>
      <c r="H53" s="21"/>
      <c r="I53" s="21"/>
      <c r="J53" s="21"/>
      <c r="K53" s="21"/>
      <c r="L53" s="21"/>
      <c r="M53" s="21"/>
      <c r="N53" s="21"/>
      <c r="O53" s="25"/>
      <c r="P53" s="25"/>
      <c r="Q53" s="25"/>
      <c r="R53" s="21"/>
      <c r="S53" s="21"/>
      <c r="T53" s="32" t="str">
        <f aca="false">IF(L53="","",IF(K53="× Công của người xả",L53*MAX(1,N(H53))/2*100,IF(OR(K53="% máu tối đa của người xả",K53="% máu tối đa của người nhận"),L53*500,"")))</f>
        <v/>
      </c>
      <c r="U53" s="32" t="str">
        <f aca="false">IF(M53="","",IF(K53="× Công của người xả",M53*MAX(1,N(I53))/2*100,IF(OR(K53="% máu tối đa của người xả",K53="% máu tối đa của người nhận"),M53*500,"")))</f>
        <v/>
      </c>
      <c r="V53" s="32" t="str">
        <f aca="false">IF(N53="","",IF(K53="× Công của người xả",N53*MAX(1,N(J53))/2*100,IF(OR(K53="% máu tối đa của người xả",K53="% máu tối đa của người nhận"),N53*500,"")))</f>
        <v/>
      </c>
      <c r="W53" s="21"/>
    </row>
    <row r="54" customFormat="false" ht="15" hidden="false" customHeight="true" outlineLevel="0" collapsed="false">
      <c r="A54" s="21"/>
      <c r="B54" s="22" t="str">
        <f aca="false">IF(A54="","",IFERROR(IF(INDEX(NHÂN_VẬT!$B$6:$B$34,MATCH(A54,NHÂN_VẬT!$A$6:$A$34,0))="","",INDEX(NHÂN_VẬT!$B$6:$B$34,MATCH(A54,NHÂN_VẬT!$A$6:$A$34,0))),"mã không có"))</f>
        <v/>
      </c>
      <c r="C54" s="21"/>
      <c r="D54" s="21"/>
      <c r="E54" s="21"/>
      <c r="F54" s="21"/>
      <c r="G54" s="21"/>
      <c r="H54" s="21"/>
      <c r="I54" s="21"/>
      <c r="J54" s="21"/>
      <c r="K54" s="21"/>
      <c r="L54" s="21"/>
      <c r="M54" s="21"/>
      <c r="N54" s="21"/>
      <c r="O54" s="25"/>
      <c r="P54" s="25"/>
      <c r="Q54" s="25"/>
      <c r="R54" s="21"/>
      <c r="S54" s="21"/>
      <c r="T54" s="32" t="str">
        <f aca="false">IF(L54="","",IF(K54="× Công của người xả",L54*MAX(1,N(H54))/2*100,IF(OR(K54="% máu tối đa của người xả",K54="% máu tối đa của người nhận"),L54*500,"")))</f>
        <v/>
      </c>
      <c r="U54" s="32" t="str">
        <f aca="false">IF(M54="","",IF(K54="× Công của người xả",M54*MAX(1,N(I54))/2*100,IF(OR(K54="% máu tối đa của người xả",K54="% máu tối đa của người nhận"),M54*500,"")))</f>
        <v/>
      </c>
      <c r="V54" s="32" t="str">
        <f aca="false">IF(N54="","",IF(K54="× Công của người xả",N54*MAX(1,N(J54))/2*100,IF(OR(K54="% máu tối đa của người xả",K54="% máu tối đa của người nhận"),N54*500,"")))</f>
        <v/>
      </c>
      <c r="W54" s="21"/>
    </row>
    <row r="55" customFormat="false" ht="15" hidden="false" customHeight="true" outlineLevel="0" collapsed="false">
      <c r="A55" s="21"/>
      <c r="B55" s="22" t="str">
        <f aca="false">IF(A55="","",IFERROR(IF(INDEX(NHÂN_VẬT!$B$6:$B$34,MATCH(A55,NHÂN_VẬT!$A$6:$A$34,0))="","",INDEX(NHÂN_VẬT!$B$6:$B$34,MATCH(A55,NHÂN_VẬT!$A$6:$A$34,0))),"mã không có"))</f>
        <v/>
      </c>
      <c r="C55" s="21"/>
      <c r="D55" s="21"/>
      <c r="E55" s="21"/>
      <c r="F55" s="21"/>
      <c r="G55" s="21"/>
      <c r="H55" s="21"/>
      <c r="I55" s="21"/>
      <c r="J55" s="21"/>
      <c r="K55" s="21"/>
      <c r="L55" s="21"/>
      <c r="M55" s="21"/>
      <c r="N55" s="21"/>
      <c r="O55" s="25"/>
      <c r="P55" s="25"/>
      <c r="Q55" s="25"/>
      <c r="R55" s="21"/>
      <c r="S55" s="21"/>
      <c r="T55" s="32" t="str">
        <f aca="false">IF(L55="","",IF(K55="× Công của người xả",L55*MAX(1,N(H55))/2*100,IF(OR(K55="% máu tối đa của người xả",K55="% máu tối đa của người nhận"),L55*500,"")))</f>
        <v/>
      </c>
      <c r="U55" s="32" t="str">
        <f aca="false">IF(M55="","",IF(K55="× Công của người xả",M55*MAX(1,N(I55))/2*100,IF(OR(K55="% máu tối đa của người xả",K55="% máu tối đa của người nhận"),M55*500,"")))</f>
        <v/>
      </c>
      <c r="V55" s="32" t="str">
        <f aca="false">IF(N55="","",IF(K55="× Công của người xả",N55*MAX(1,N(J55))/2*100,IF(OR(K55="% máu tối đa của người xả",K55="% máu tối đa của người nhận"),N55*500,"")))</f>
        <v/>
      </c>
      <c r="W55" s="21"/>
    </row>
    <row r="56" customFormat="false" ht="15" hidden="false" customHeight="true" outlineLevel="0" collapsed="false">
      <c r="A56" s="21"/>
      <c r="B56" s="22" t="str">
        <f aca="false">IF(A56="","",IFERROR(IF(INDEX(NHÂN_VẬT!$B$6:$B$34,MATCH(A56,NHÂN_VẬT!$A$6:$A$34,0))="","",INDEX(NHÂN_VẬT!$B$6:$B$34,MATCH(A56,NHÂN_VẬT!$A$6:$A$34,0))),"mã không có"))</f>
        <v/>
      </c>
      <c r="C56" s="21"/>
      <c r="D56" s="21"/>
      <c r="E56" s="21"/>
      <c r="F56" s="21"/>
      <c r="G56" s="21"/>
      <c r="H56" s="21"/>
      <c r="I56" s="21"/>
      <c r="J56" s="21"/>
      <c r="K56" s="21"/>
      <c r="L56" s="21"/>
      <c r="M56" s="21"/>
      <c r="N56" s="21"/>
      <c r="O56" s="25"/>
      <c r="P56" s="25"/>
      <c r="Q56" s="25"/>
      <c r="R56" s="21"/>
      <c r="S56" s="21"/>
      <c r="T56" s="32" t="str">
        <f aca="false">IF(L56="","",IF(K56="× Công của người xả",L56*MAX(1,N(H56))/2*100,IF(OR(K56="% máu tối đa của người xả",K56="% máu tối đa của người nhận"),L56*500,"")))</f>
        <v/>
      </c>
      <c r="U56" s="32" t="str">
        <f aca="false">IF(M56="","",IF(K56="× Công của người xả",M56*MAX(1,N(I56))/2*100,IF(OR(K56="% máu tối đa của người xả",K56="% máu tối đa của người nhận"),M56*500,"")))</f>
        <v/>
      </c>
      <c r="V56" s="32" t="str">
        <f aca="false">IF(N56="","",IF(K56="× Công của người xả",N56*MAX(1,N(J56))/2*100,IF(OR(K56="% máu tối đa của người xả",K56="% máu tối đa của người nhận"),N56*500,"")))</f>
        <v/>
      </c>
      <c r="W56" s="21"/>
    </row>
    <row r="57" customFormat="false" ht="15" hidden="false" customHeight="true" outlineLevel="0" collapsed="false">
      <c r="A57" s="21"/>
      <c r="B57" s="22" t="str">
        <f aca="false">IF(A57="","",IFERROR(IF(INDEX(NHÂN_VẬT!$B$6:$B$34,MATCH(A57,NHÂN_VẬT!$A$6:$A$34,0))="","",INDEX(NHÂN_VẬT!$B$6:$B$34,MATCH(A57,NHÂN_VẬT!$A$6:$A$34,0))),"mã không có"))</f>
        <v/>
      </c>
      <c r="C57" s="21"/>
      <c r="D57" s="21"/>
      <c r="E57" s="21"/>
      <c r="F57" s="21"/>
      <c r="G57" s="21"/>
      <c r="H57" s="21"/>
      <c r="I57" s="21"/>
      <c r="J57" s="21"/>
      <c r="K57" s="21"/>
      <c r="L57" s="21"/>
      <c r="M57" s="21"/>
      <c r="N57" s="21"/>
      <c r="O57" s="25"/>
      <c r="P57" s="25"/>
      <c r="Q57" s="25"/>
      <c r="R57" s="21"/>
      <c r="S57" s="21"/>
      <c r="T57" s="32" t="str">
        <f aca="false">IF(L57="","",IF(K57="× Công của người xả",L57*MAX(1,N(H57))/2*100,IF(OR(K57="% máu tối đa của người xả",K57="% máu tối đa của người nhận"),L57*500,"")))</f>
        <v/>
      </c>
      <c r="U57" s="32" t="str">
        <f aca="false">IF(M57="","",IF(K57="× Công của người xả",M57*MAX(1,N(I57))/2*100,IF(OR(K57="% máu tối đa của người xả",K57="% máu tối đa của người nhận"),M57*500,"")))</f>
        <v/>
      </c>
      <c r="V57" s="32" t="str">
        <f aca="false">IF(N57="","",IF(K57="× Công của người xả",N57*MAX(1,N(J57))/2*100,IF(OR(K57="% máu tối đa của người xả",K57="% máu tối đa của người nhận"),N57*500,"")))</f>
        <v/>
      </c>
      <c r="W57" s="21"/>
    </row>
    <row r="58" customFormat="false" ht="15" hidden="false" customHeight="true" outlineLevel="0" collapsed="false">
      <c r="A58" s="21"/>
      <c r="B58" s="22" t="str">
        <f aca="false">IF(A58="","",IFERROR(IF(INDEX(NHÂN_VẬT!$B$6:$B$34,MATCH(A58,NHÂN_VẬT!$A$6:$A$34,0))="","",INDEX(NHÂN_VẬT!$B$6:$B$34,MATCH(A58,NHÂN_VẬT!$A$6:$A$34,0))),"mã không có"))</f>
        <v/>
      </c>
      <c r="C58" s="21"/>
      <c r="D58" s="21"/>
      <c r="E58" s="21"/>
      <c r="F58" s="21"/>
      <c r="G58" s="21"/>
      <c r="H58" s="21"/>
      <c r="I58" s="21"/>
      <c r="J58" s="21"/>
      <c r="K58" s="21"/>
      <c r="L58" s="21"/>
      <c r="M58" s="21"/>
      <c r="N58" s="21"/>
      <c r="O58" s="25"/>
      <c r="P58" s="25"/>
      <c r="Q58" s="25"/>
      <c r="R58" s="21"/>
      <c r="S58" s="21"/>
      <c r="T58" s="32" t="str">
        <f aca="false">IF(L58="","",IF(K58="× Công của người xả",L58*MAX(1,N(H58))/2*100,IF(OR(K58="% máu tối đa của người xả",K58="% máu tối đa của người nhận"),L58*500,"")))</f>
        <v/>
      </c>
      <c r="U58" s="32" t="str">
        <f aca="false">IF(M58="","",IF(K58="× Công của người xả",M58*MAX(1,N(I58))/2*100,IF(OR(K58="% máu tối đa của người xả",K58="% máu tối đa của người nhận"),M58*500,"")))</f>
        <v/>
      </c>
      <c r="V58" s="32" t="str">
        <f aca="false">IF(N58="","",IF(K58="× Công của người xả",N58*MAX(1,N(J58))/2*100,IF(OR(K58="% máu tối đa của người xả",K58="% máu tối đa của người nhận"),N58*500,"")))</f>
        <v/>
      </c>
      <c r="W58" s="21"/>
    </row>
    <row r="59" customFormat="false" ht="15" hidden="false" customHeight="true" outlineLevel="0" collapsed="false">
      <c r="A59" s="21"/>
      <c r="B59" s="22" t="str">
        <f aca="false">IF(A59="","",IFERROR(IF(INDEX(NHÂN_VẬT!$B$6:$B$34,MATCH(A59,NHÂN_VẬT!$A$6:$A$34,0))="","",INDEX(NHÂN_VẬT!$B$6:$B$34,MATCH(A59,NHÂN_VẬT!$A$6:$A$34,0))),"mã không có"))</f>
        <v/>
      </c>
      <c r="C59" s="21"/>
      <c r="D59" s="21"/>
      <c r="E59" s="21"/>
      <c r="F59" s="21"/>
      <c r="G59" s="21"/>
      <c r="H59" s="21"/>
      <c r="I59" s="21"/>
      <c r="J59" s="21"/>
      <c r="K59" s="21"/>
      <c r="L59" s="21"/>
      <c r="M59" s="21"/>
      <c r="N59" s="21"/>
      <c r="O59" s="25"/>
      <c r="P59" s="25"/>
      <c r="Q59" s="25"/>
      <c r="R59" s="21"/>
      <c r="S59" s="21"/>
      <c r="T59" s="32" t="str">
        <f aca="false">IF(L59="","",IF(K59="× Công của người xả",L59*MAX(1,N(H59))/2*100,IF(OR(K59="% máu tối đa của người xả",K59="% máu tối đa của người nhận"),L59*500,"")))</f>
        <v/>
      </c>
      <c r="U59" s="32" t="str">
        <f aca="false">IF(M59="","",IF(K59="× Công của người xả",M59*MAX(1,N(I59))/2*100,IF(OR(K59="% máu tối đa của người xả",K59="% máu tối đa của người nhận"),M59*500,"")))</f>
        <v/>
      </c>
      <c r="V59" s="32" t="str">
        <f aca="false">IF(N59="","",IF(K59="× Công của người xả",N59*MAX(1,N(J59))/2*100,IF(OR(K59="% máu tối đa của người xả",K59="% máu tối đa của người nhận"),N59*500,"")))</f>
        <v/>
      </c>
      <c r="W59" s="21"/>
    </row>
    <row r="60" customFormat="false" ht="15" hidden="false" customHeight="true" outlineLevel="0" collapsed="false">
      <c r="A60" s="21"/>
      <c r="B60" s="22" t="str">
        <f aca="false">IF(A60="","",IFERROR(IF(INDEX(NHÂN_VẬT!$B$6:$B$34,MATCH(A60,NHÂN_VẬT!$A$6:$A$34,0))="","",INDEX(NHÂN_VẬT!$B$6:$B$34,MATCH(A60,NHÂN_VẬT!$A$6:$A$34,0))),"mã không có"))</f>
        <v/>
      </c>
      <c r="C60" s="21"/>
      <c r="D60" s="21"/>
      <c r="E60" s="21"/>
      <c r="F60" s="21"/>
      <c r="G60" s="21"/>
      <c r="H60" s="21"/>
      <c r="I60" s="21"/>
      <c r="J60" s="21"/>
      <c r="K60" s="21"/>
      <c r="L60" s="21"/>
      <c r="M60" s="21"/>
      <c r="N60" s="21"/>
      <c r="O60" s="25"/>
      <c r="P60" s="25"/>
      <c r="Q60" s="25"/>
      <c r="R60" s="21"/>
      <c r="S60" s="21"/>
      <c r="T60" s="32" t="str">
        <f aca="false">IF(L60="","",IF(K60="× Công của người xả",L60*MAX(1,N(H60))/2*100,IF(OR(K60="% máu tối đa của người xả",K60="% máu tối đa của người nhận"),L60*500,"")))</f>
        <v/>
      </c>
      <c r="U60" s="32" t="str">
        <f aca="false">IF(M60="","",IF(K60="× Công của người xả",M60*MAX(1,N(I60))/2*100,IF(OR(K60="% máu tối đa của người xả",K60="% máu tối đa của người nhận"),M60*500,"")))</f>
        <v/>
      </c>
      <c r="V60" s="32" t="str">
        <f aca="false">IF(N60="","",IF(K60="× Công của người xả",N60*MAX(1,N(J60))/2*100,IF(OR(K60="% máu tối đa của người xả",K60="% máu tối đa của người nhận"),N60*500,"")))</f>
        <v/>
      </c>
      <c r="W60" s="21"/>
    </row>
    <row r="61" customFormat="false" ht="15" hidden="false" customHeight="true" outlineLevel="0" collapsed="false">
      <c r="A61" s="21"/>
      <c r="B61" s="22" t="str">
        <f aca="false">IF(A61="","",IFERROR(IF(INDEX(NHÂN_VẬT!$B$6:$B$34,MATCH(A61,NHÂN_VẬT!$A$6:$A$34,0))="","",INDEX(NHÂN_VẬT!$B$6:$B$34,MATCH(A61,NHÂN_VẬT!$A$6:$A$34,0))),"mã không có"))</f>
        <v/>
      </c>
      <c r="C61" s="21"/>
      <c r="D61" s="21"/>
      <c r="E61" s="21"/>
      <c r="F61" s="21"/>
      <c r="G61" s="21"/>
      <c r="H61" s="21"/>
      <c r="I61" s="21"/>
      <c r="J61" s="21"/>
      <c r="K61" s="21"/>
      <c r="L61" s="21"/>
      <c r="M61" s="21"/>
      <c r="N61" s="21"/>
      <c r="O61" s="25"/>
      <c r="P61" s="25"/>
      <c r="Q61" s="25"/>
      <c r="R61" s="21"/>
      <c r="S61" s="21"/>
      <c r="T61" s="32" t="str">
        <f aca="false">IF(L61="","",IF(K61="× Công của người xả",L61*MAX(1,N(H61))/2*100,IF(OR(K61="% máu tối đa của người xả",K61="% máu tối đa của người nhận"),L61*500,"")))</f>
        <v/>
      </c>
      <c r="U61" s="32" t="str">
        <f aca="false">IF(M61="","",IF(K61="× Công của người xả",M61*MAX(1,N(I61))/2*100,IF(OR(K61="% máu tối đa của người xả",K61="% máu tối đa của người nhận"),M61*500,"")))</f>
        <v/>
      </c>
      <c r="V61" s="32" t="str">
        <f aca="false">IF(N61="","",IF(K61="× Công của người xả",N61*MAX(1,N(J61))/2*100,IF(OR(K61="% máu tối đa của người xả",K61="% máu tối đa của người nhận"),N61*500,"")))</f>
        <v/>
      </c>
      <c r="W61" s="21"/>
    </row>
    <row r="62" customFormat="false" ht="15" hidden="false" customHeight="true" outlineLevel="0" collapsed="false">
      <c r="A62" s="21"/>
      <c r="B62" s="22" t="str">
        <f aca="false">IF(A62="","",IFERROR(IF(INDEX(NHÂN_VẬT!$B$6:$B$34,MATCH(A62,NHÂN_VẬT!$A$6:$A$34,0))="","",INDEX(NHÂN_VẬT!$B$6:$B$34,MATCH(A62,NHÂN_VẬT!$A$6:$A$34,0))),"mã không có"))</f>
        <v/>
      </c>
      <c r="C62" s="21"/>
      <c r="D62" s="21"/>
      <c r="E62" s="21"/>
      <c r="F62" s="21"/>
      <c r="G62" s="21"/>
      <c r="H62" s="21"/>
      <c r="I62" s="21"/>
      <c r="J62" s="21"/>
      <c r="K62" s="21"/>
      <c r="L62" s="21"/>
      <c r="M62" s="21"/>
      <c r="N62" s="21"/>
      <c r="O62" s="25"/>
      <c r="P62" s="25"/>
      <c r="Q62" s="25"/>
      <c r="R62" s="21"/>
      <c r="S62" s="21"/>
      <c r="T62" s="32" t="str">
        <f aca="false">IF(L62="","",IF(K62="× Công của người xả",L62*MAX(1,N(H62))/2*100,IF(OR(K62="% máu tối đa của người xả",K62="% máu tối đa của người nhận"),L62*500,"")))</f>
        <v/>
      </c>
      <c r="U62" s="32" t="str">
        <f aca="false">IF(M62="","",IF(K62="× Công của người xả",M62*MAX(1,N(I62))/2*100,IF(OR(K62="% máu tối đa của người xả",K62="% máu tối đa của người nhận"),M62*500,"")))</f>
        <v/>
      </c>
      <c r="V62" s="32" t="str">
        <f aca="false">IF(N62="","",IF(K62="× Công của người xả",N62*MAX(1,N(J62))/2*100,IF(OR(K62="% máu tối đa của người xả",K62="% máu tối đa của người nhận"),N62*500,"")))</f>
        <v/>
      </c>
      <c r="W62" s="21"/>
    </row>
    <row r="63" customFormat="false" ht="15" hidden="false" customHeight="true" outlineLevel="0" collapsed="false">
      <c r="A63" s="21"/>
      <c r="B63" s="22" t="str">
        <f aca="false">IF(A63="","",IFERROR(IF(INDEX(NHÂN_VẬT!$B$6:$B$34,MATCH(A63,NHÂN_VẬT!$A$6:$A$34,0))="","",INDEX(NHÂN_VẬT!$B$6:$B$34,MATCH(A63,NHÂN_VẬT!$A$6:$A$34,0))),"mã không có"))</f>
        <v/>
      </c>
      <c r="C63" s="21"/>
      <c r="D63" s="21"/>
      <c r="E63" s="21"/>
      <c r="F63" s="21"/>
      <c r="G63" s="21"/>
      <c r="H63" s="21"/>
      <c r="I63" s="21"/>
      <c r="J63" s="21"/>
      <c r="K63" s="21"/>
      <c r="L63" s="21"/>
      <c r="M63" s="21"/>
      <c r="N63" s="21"/>
      <c r="O63" s="25"/>
      <c r="P63" s="25"/>
      <c r="Q63" s="25"/>
      <c r="R63" s="21"/>
      <c r="S63" s="21"/>
      <c r="T63" s="32" t="str">
        <f aca="false">IF(L63="","",IF(K63="× Công của người xả",L63*MAX(1,N(H63))/2*100,IF(OR(K63="% máu tối đa của người xả",K63="% máu tối đa của người nhận"),L63*500,"")))</f>
        <v/>
      </c>
      <c r="U63" s="32" t="str">
        <f aca="false">IF(M63="","",IF(K63="× Công của người xả",M63*MAX(1,N(I63))/2*100,IF(OR(K63="% máu tối đa của người xả",K63="% máu tối đa của người nhận"),M63*500,"")))</f>
        <v/>
      </c>
      <c r="V63" s="32" t="str">
        <f aca="false">IF(N63="","",IF(K63="× Công của người xả",N63*MAX(1,N(J63))/2*100,IF(OR(K63="% máu tối đa của người xả",K63="% máu tối đa của người nhận"),N63*500,"")))</f>
        <v/>
      </c>
      <c r="W63" s="21"/>
    </row>
    <row r="64" customFormat="false" ht="15" hidden="false" customHeight="true" outlineLevel="0" collapsed="false">
      <c r="A64" s="21"/>
      <c r="B64" s="22" t="str">
        <f aca="false">IF(A64="","",IFERROR(IF(INDEX(NHÂN_VẬT!$B$6:$B$34,MATCH(A64,NHÂN_VẬT!$A$6:$A$34,0))="","",INDEX(NHÂN_VẬT!$B$6:$B$34,MATCH(A64,NHÂN_VẬT!$A$6:$A$34,0))),"mã không có"))</f>
        <v/>
      </c>
      <c r="C64" s="21"/>
      <c r="D64" s="21"/>
      <c r="E64" s="21"/>
      <c r="F64" s="21"/>
      <c r="G64" s="21"/>
      <c r="H64" s="21"/>
      <c r="I64" s="21"/>
      <c r="J64" s="21"/>
      <c r="K64" s="21"/>
      <c r="L64" s="21"/>
      <c r="M64" s="21"/>
      <c r="N64" s="21"/>
      <c r="O64" s="25"/>
      <c r="P64" s="25"/>
      <c r="Q64" s="25"/>
      <c r="R64" s="21"/>
      <c r="S64" s="21"/>
      <c r="T64" s="32" t="str">
        <f aca="false">IF(L64="","",IF(K64="× Công của người xả",L64*MAX(1,N(H64))/2*100,IF(OR(K64="% máu tối đa của người xả",K64="% máu tối đa của người nhận"),L64*500,"")))</f>
        <v/>
      </c>
      <c r="U64" s="32" t="str">
        <f aca="false">IF(M64="","",IF(K64="× Công của người xả",M64*MAX(1,N(I64))/2*100,IF(OR(K64="% máu tối đa của người xả",K64="% máu tối đa của người nhận"),M64*500,"")))</f>
        <v/>
      </c>
      <c r="V64" s="32" t="str">
        <f aca="false">IF(N64="","",IF(K64="× Công của người xả",N64*MAX(1,N(J64))/2*100,IF(OR(K64="% máu tối đa của người xả",K64="% máu tối đa của người nhận"),N64*500,"")))</f>
        <v/>
      </c>
      <c r="W64" s="21"/>
    </row>
    <row r="65" customFormat="false" ht="15" hidden="false" customHeight="true" outlineLevel="0" collapsed="false">
      <c r="A65" s="21"/>
      <c r="B65" s="22" t="str">
        <f aca="false">IF(A65="","",IFERROR(IF(INDEX(NHÂN_VẬT!$B$6:$B$34,MATCH(A65,NHÂN_VẬT!$A$6:$A$34,0))="","",INDEX(NHÂN_VẬT!$B$6:$B$34,MATCH(A65,NHÂN_VẬT!$A$6:$A$34,0))),"mã không có"))</f>
        <v/>
      </c>
      <c r="C65" s="21"/>
      <c r="D65" s="21"/>
      <c r="E65" s="21"/>
      <c r="F65" s="21"/>
      <c r="G65" s="21"/>
      <c r="H65" s="21"/>
      <c r="I65" s="21"/>
      <c r="J65" s="21"/>
      <c r="K65" s="21"/>
      <c r="L65" s="21"/>
      <c r="M65" s="21"/>
      <c r="N65" s="21"/>
      <c r="O65" s="25"/>
      <c r="P65" s="25"/>
      <c r="Q65" s="25"/>
      <c r="R65" s="21"/>
      <c r="S65" s="21"/>
      <c r="T65" s="32" t="str">
        <f aca="false">IF(L65="","",IF(K65="× Công của người xả",L65*MAX(1,N(H65))/2*100,IF(OR(K65="% máu tối đa của người xả",K65="% máu tối đa của người nhận"),L65*500,"")))</f>
        <v/>
      </c>
      <c r="U65" s="32" t="str">
        <f aca="false">IF(M65="","",IF(K65="× Công của người xả",M65*MAX(1,N(I65))/2*100,IF(OR(K65="% máu tối đa của người xả",K65="% máu tối đa của người nhận"),M65*500,"")))</f>
        <v/>
      </c>
      <c r="V65" s="32" t="str">
        <f aca="false">IF(N65="","",IF(K65="× Công của người xả",N65*MAX(1,N(J65))/2*100,IF(OR(K65="% máu tối đa của người xả",K65="% máu tối đa của người nhận"),N65*500,"")))</f>
        <v/>
      </c>
      <c r="W65" s="21"/>
    </row>
    <row r="66" customFormat="false" ht="15" hidden="false" customHeight="true" outlineLevel="0" collapsed="false">
      <c r="A66" s="21"/>
      <c r="B66" s="22" t="str">
        <f aca="false">IF(A66="","",IFERROR(IF(INDEX(NHÂN_VẬT!$B$6:$B$34,MATCH(A66,NHÂN_VẬT!$A$6:$A$34,0))="","",INDEX(NHÂN_VẬT!$B$6:$B$34,MATCH(A66,NHÂN_VẬT!$A$6:$A$34,0))),"mã không có"))</f>
        <v/>
      </c>
      <c r="C66" s="21"/>
      <c r="D66" s="21"/>
      <c r="E66" s="21"/>
      <c r="F66" s="21"/>
      <c r="G66" s="21"/>
      <c r="H66" s="21"/>
      <c r="I66" s="21"/>
      <c r="J66" s="21"/>
      <c r="K66" s="21"/>
      <c r="L66" s="21"/>
      <c r="M66" s="21"/>
      <c r="N66" s="21"/>
      <c r="O66" s="25"/>
      <c r="P66" s="25"/>
      <c r="Q66" s="25"/>
      <c r="R66" s="21"/>
      <c r="S66" s="21"/>
      <c r="T66" s="32" t="str">
        <f aca="false">IF(L66="","",IF(K66="× Công của người xả",L66*MAX(1,N(H66))/2*100,IF(OR(K66="% máu tối đa của người xả",K66="% máu tối đa của người nhận"),L66*500,"")))</f>
        <v/>
      </c>
      <c r="U66" s="32" t="str">
        <f aca="false">IF(M66="","",IF(K66="× Công của người xả",M66*MAX(1,N(I66))/2*100,IF(OR(K66="% máu tối đa của người xả",K66="% máu tối đa của người nhận"),M66*500,"")))</f>
        <v/>
      </c>
      <c r="V66" s="32" t="str">
        <f aca="false">IF(N66="","",IF(K66="× Công của người xả",N66*MAX(1,N(J66))/2*100,IF(OR(K66="% máu tối đa của người xả",K66="% máu tối đa của người nhận"),N66*500,"")))</f>
        <v/>
      </c>
      <c r="W66" s="21"/>
    </row>
    <row r="67" customFormat="false" ht="15" hidden="false" customHeight="true" outlineLevel="0" collapsed="false">
      <c r="A67" s="21"/>
      <c r="B67" s="22" t="str">
        <f aca="false">IF(A67="","",IFERROR(IF(INDEX(NHÂN_VẬT!$B$6:$B$34,MATCH(A67,NHÂN_VẬT!$A$6:$A$34,0))="","",INDEX(NHÂN_VẬT!$B$6:$B$34,MATCH(A67,NHÂN_VẬT!$A$6:$A$34,0))),"mã không có"))</f>
        <v/>
      </c>
      <c r="C67" s="21"/>
      <c r="D67" s="21"/>
      <c r="E67" s="21"/>
      <c r="F67" s="21"/>
      <c r="G67" s="21"/>
      <c r="H67" s="21"/>
      <c r="I67" s="21"/>
      <c r="J67" s="21"/>
      <c r="K67" s="21"/>
      <c r="L67" s="21"/>
      <c r="M67" s="21"/>
      <c r="N67" s="21"/>
      <c r="O67" s="25"/>
      <c r="P67" s="25"/>
      <c r="Q67" s="25"/>
      <c r="R67" s="21"/>
      <c r="S67" s="21"/>
      <c r="T67" s="32" t="str">
        <f aca="false">IF(L67="","",IF(K67="× Công của người xả",L67*MAX(1,N(H67))/2*100,IF(OR(K67="% máu tối đa của người xả",K67="% máu tối đa của người nhận"),L67*500,"")))</f>
        <v/>
      </c>
      <c r="U67" s="32" t="str">
        <f aca="false">IF(M67="","",IF(K67="× Công của người xả",M67*MAX(1,N(I67))/2*100,IF(OR(K67="% máu tối đa của người xả",K67="% máu tối đa của người nhận"),M67*500,"")))</f>
        <v/>
      </c>
      <c r="V67" s="32" t="str">
        <f aca="false">IF(N67="","",IF(K67="× Công của người xả",N67*MAX(1,N(J67))/2*100,IF(OR(K67="% máu tối đa của người xả",K67="% máu tối đa của người nhận"),N67*500,"")))</f>
        <v/>
      </c>
      <c r="W67" s="21"/>
    </row>
    <row r="68" customFormat="false" ht="15" hidden="false" customHeight="true" outlineLevel="0" collapsed="false">
      <c r="A68" s="21"/>
      <c r="B68" s="22" t="str">
        <f aca="false">IF(A68="","",IFERROR(IF(INDEX(NHÂN_VẬT!$B$6:$B$34,MATCH(A68,NHÂN_VẬT!$A$6:$A$34,0))="","",INDEX(NHÂN_VẬT!$B$6:$B$34,MATCH(A68,NHÂN_VẬT!$A$6:$A$34,0))),"mã không có"))</f>
        <v/>
      </c>
      <c r="C68" s="21"/>
      <c r="D68" s="21"/>
      <c r="E68" s="21"/>
      <c r="F68" s="21"/>
      <c r="G68" s="21"/>
      <c r="H68" s="21"/>
      <c r="I68" s="21"/>
      <c r="J68" s="21"/>
      <c r="K68" s="21"/>
      <c r="L68" s="21"/>
      <c r="M68" s="21"/>
      <c r="N68" s="21"/>
      <c r="O68" s="25"/>
      <c r="P68" s="25"/>
      <c r="Q68" s="25"/>
      <c r="R68" s="21"/>
      <c r="S68" s="21"/>
      <c r="T68" s="32" t="str">
        <f aca="false">IF(L68="","",IF(K68="× Công của người xả",L68*MAX(1,N(H68))/2*100,IF(OR(K68="% máu tối đa của người xả",K68="% máu tối đa của người nhận"),L68*500,"")))</f>
        <v/>
      </c>
      <c r="U68" s="32" t="str">
        <f aca="false">IF(M68="","",IF(K68="× Công của người xả",M68*MAX(1,N(I68))/2*100,IF(OR(K68="% máu tối đa của người xả",K68="% máu tối đa của người nhận"),M68*500,"")))</f>
        <v/>
      </c>
      <c r="V68" s="32" t="str">
        <f aca="false">IF(N68="","",IF(K68="× Công của người xả",N68*MAX(1,N(J68))/2*100,IF(OR(K68="% máu tối đa của người xả",K68="% máu tối đa của người nhận"),N68*500,"")))</f>
        <v/>
      </c>
      <c r="W68" s="21"/>
    </row>
    <row r="69" customFormat="false" ht="15" hidden="false" customHeight="true" outlineLevel="0" collapsed="false">
      <c r="A69" s="21"/>
      <c r="B69" s="22" t="str">
        <f aca="false">IF(A69="","",IFERROR(IF(INDEX(NHÂN_VẬT!$B$6:$B$34,MATCH(A69,NHÂN_VẬT!$A$6:$A$34,0))="","",INDEX(NHÂN_VẬT!$B$6:$B$34,MATCH(A69,NHÂN_VẬT!$A$6:$A$34,0))),"mã không có"))</f>
        <v/>
      </c>
      <c r="C69" s="21"/>
      <c r="D69" s="21"/>
      <c r="E69" s="21"/>
      <c r="F69" s="21"/>
      <c r="G69" s="21"/>
      <c r="H69" s="21"/>
      <c r="I69" s="21"/>
      <c r="J69" s="21"/>
      <c r="K69" s="21"/>
      <c r="L69" s="21"/>
      <c r="M69" s="21"/>
      <c r="N69" s="21"/>
      <c r="O69" s="25"/>
      <c r="P69" s="25"/>
      <c r="Q69" s="25"/>
      <c r="R69" s="21"/>
      <c r="S69" s="21"/>
      <c r="T69" s="32" t="str">
        <f aca="false">IF(L69="","",IF(K69="× Công của người xả",L69*MAX(1,N(H69))/2*100,IF(OR(K69="% máu tối đa của người xả",K69="% máu tối đa của người nhận"),L69*500,"")))</f>
        <v/>
      </c>
      <c r="U69" s="32" t="str">
        <f aca="false">IF(M69="","",IF(K69="× Công của người xả",M69*MAX(1,N(I69))/2*100,IF(OR(K69="% máu tối đa của người xả",K69="% máu tối đa của người nhận"),M69*500,"")))</f>
        <v/>
      </c>
      <c r="V69" s="32" t="str">
        <f aca="false">IF(N69="","",IF(K69="× Công của người xả",N69*MAX(1,N(J69))/2*100,IF(OR(K69="% máu tối đa của người xả",K69="% máu tối đa của người nhận"),N69*500,"")))</f>
        <v/>
      </c>
      <c r="W69" s="21"/>
    </row>
    <row r="70" customFormat="false" ht="15" hidden="false" customHeight="true" outlineLevel="0" collapsed="false">
      <c r="A70" s="21"/>
      <c r="B70" s="22" t="str">
        <f aca="false">IF(A70="","",IFERROR(IF(INDEX(NHÂN_VẬT!$B$6:$B$34,MATCH(A70,NHÂN_VẬT!$A$6:$A$34,0))="","",INDEX(NHÂN_VẬT!$B$6:$B$34,MATCH(A70,NHÂN_VẬT!$A$6:$A$34,0))),"mã không có"))</f>
        <v/>
      </c>
      <c r="C70" s="21"/>
      <c r="D70" s="21"/>
      <c r="E70" s="21"/>
      <c r="F70" s="21"/>
      <c r="G70" s="21"/>
      <c r="H70" s="21"/>
      <c r="I70" s="21"/>
      <c r="J70" s="21"/>
      <c r="K70" s="21"/>
      <c r="L70" s="21"/>
      <c r="M70" s="21"/>
      <c r="N70" s="21"/>
      <c r="O70" s="25"/>
      <c r="P70" s="25"/>
      <c r="Q70" s="25"/>
      <c r="R70" s="21"/>
      <c r="S70" s="21"/>
      <c r="T70" s="32" t="str">
        <f aca="false">IF(L70="","",IF(K70="× Công của người xả",L70*MAX(1,N(H70))/2*100,IF(OR(K70="% máu tối đa của người xả",K70="% máu tối đa của người nhận"),L70*500,"")))</f>
        <v/>
      </c>
      <c r="U70" s="32" t="str">
        <f aca="false">IF(M70="","",IF(K70="× Công của người xả",M70*MAX(1,N(I70))/2*100,IF(OR(K70="% máu tối đa của người xả",K70="% máu tối đa của người nhận"),M70*500,"")))</f>
        <v/>
      </c>
      <c r="V70" s="32" t="str">
        <f aca="false">IF(N70="","",IF(K70="× Công của người xả",N70*MAX(1,N(J70))/2*100,IF(OR(K70="% máu tối đa của người xả",K70="% máu tối đa của người nhận"),N70*500,"")))</f>
        <v/>
      </c>
      <c r="W70" s="21"/>
    </row>
    <row r="71" customFormat="false" ht="15" hidden="false" customHeight="true" outlineLevel="0" collapsed="false">
      <c r="A71" s="21"/>
      <c r="B71" s="22" t="str">
        <f aca="false">IF(A71="","",IFERROR(IF(INDEX(NHÂN_VẬT!$B$6:$B$34,MATCH(A71,NHÂN_VẬT!$A$6:$A$34,0))="","",INDEX(NHÂN_VẬT!$B$6:$B$34,MATCH(A71,NHÂN_VẬT!$A$6:$A$34,0))),"mã không có"))</f>
        <v/>
      </c>
      <c r="C71" s="21"/>
      <c r="D71" s="21"/>
      <c r="E71" s="21"/>
      <c r="F71" s="21"/>
      <c r="G71" s="21"/>
      <c r="H71" s="21"/>
      <c r="I71" s="21"/>
      <c r="J71" s="21"/>
      <c r="K71" s="21"/>
      <c r="L71" s="21"/>
      <c r="M71" s="21"/>
      <c r="N71" s="21"/>
      <c r="O71" s="25"/>
      <c r="P71" s="25"/>
      <c r="Q71" s="25"/>
      <c r="R71" s="21"/>
      <c r="S71" s="21"/>
      <c r="T71" s="32" t="str">
        <f aca="false">IF(L71="","",IF(K71="× Công của người xả",L71*MAX(1,N(H71))/2*100,IF(OR(K71="% máu tối đa của người xả",K71="% máu tối đa của người nhận"),L71*500,"")))</f>
        <v/>
      </c>
      <c r="U71" s="32" t="str">
        <f aca="false">IF(M71="","",IF(K71="× Công của người xả",M71*MAX(1,N(I71))/2*100,IF(OR(K71="% máu tối đa của người xả",K71="% máu tối đa của người nhận"),M71*500,"")))</f>
        <v/>
      </c>
      <c r="V71" s="32" t="str">
        <f aca="false">IF(N71="","",IF(K71="× Công của người xả",N71*MAX(1,N(J71))/2*100,IF(OR(K71="% máu tối đa của người xả",K71="% máu tối đa của người nhận"),N71*500,"")))</f>
        <v/>
      </c>
      <c r="W71" s="21"/>
    </row>
    <row r="72" customFormat="false" ht="15" hidden="false" customHeight="true" outlineLevel="0" collapsed="false">
      <c r="A72" s="21"/>
      <c r="B72" s="22" t="str">
        <f aca="false">IF(A72="","",IFERROR(IF(INDEX(NHÂN_VẬT!$B$6:$B$34,MATCH(A72,NHÂN_VẬT!$A$6:$A$34,0))="","",INDEX(NHÂN_VẬT!$B$6:$B$34,MATCH(A72,NHÂN_VẬT!$A$6:$A$34,0))),"mã không có"))</f>
        <v/>
      </c>
      <c r="C72" s="21"/>
      <c r="D72" s="21"/>
      <c r="E72" s="21"/>
      <c r="F72" s="21"/>
      <c r="G72" s="21"/>
      <c r="H72" s="21"/>
      <c r="I72" s="21"/>
      <c r="J72" s="21"/>
      <c r="K72" s="21"/>
      <c r="L72" s="21"/>
      <c r="M72" s="21"/>
      <c r="N72" s="21"/>
      <c r="O72" s="25"/>
      <c r="P72" s="25"/>
      <c r="Q72" s="25"/>
      <c r="R72" s="21"/>
      <c r="S72" s="21"/>
      <c r="T72" s="32" t="str">
        <f aca="false">IF(L72="","",IF(K72="× Công của người xả",L72*MAX(1,N(H72))/2*100,IF(OR(K72="% máu tối đa của người xả",K72="% máu tối đa của người nhận"),L72*500,"")))</f>
        <v/>
      </c>
      <c r="U72" s="32" t="str">
        <f aca="false">IF(M72="","",IF(K72="× Công của người xả",M72*MAX(1,N(I72))/2*100,IF(OR(K72="% máu tối đa của người xả",K72="% máu tối đa của người nhận"),M72*500,"")))</f>
        <v/>
      </c>
      <c r="V72" s="32" t="str">
        <f aca="false">IF(N72="","",IF(K72="× Công của người xả",N72*MAX(1,N(J72))/2*100,IF(OR(K72="% máu tối đa của người xả",K72="% máu tối đa của người nhận"),N72*500,"")))</f>
        <v/>
      </c>
      <c r="W72" s="21"/>
    </row>
    <row r="73" customFormat="false" ht="15" hidden="false" customHeight="true" outlineLevel="0" collapsed="false">
      <c r="A73" s="21"/>
      <c r="B73" s="22" t="str">
        <f aca="false">IF(A73="","",IFERROR(IF(INDEX(NHÂN_VẬT!$B$6:$B$34,MATCH(A73,NHÂN_VẬT!$A$6:$A$34,0))="","",INDEX(NHÂN_VẬT!$B$6:$B$34,MATCH(A73,NHÂN_VẬT!$A$6:$A$34,0))),"mã không có"))</f>
        <v/>
      </c>
      <c r="C73" s="21"/>
      <c r="D73" s="21"/>
      <c r="E73" s="21"/>
      <c r="F73" s="21"/>
      <c r="G73" s="21"/>
      <c r="H73" s="21"/>
      <c r="I73" s="21"/>
      <c r="J73" s="21"/>
      <c r="K73" s="21"/>
      <c r="L73" s="21"/>
      <c r="M73" s="21"/>
      <c r="N73" s="21"/>
      <c r="O73" s="25"/>
      <c r="P73" s="25"/>
      <c r="Q73" s="25"/>
      <c r="R73" s="21"/>
      <c r="S73" s="21"/>
      <c r="T73" s="32" t="str">
        <f aca="false">IF(L73="","",IF(K73="× Công của người xả",L73*MAX(1,N(H73))/2*100,IF(OR(K73="% máu tối đa của người xả",K73="% máu tối đa của người nhận"),L73*500,"")))</f>
        <v/>
      </c>
      <c r="U73" s="32" t="str">
        <f aca="false">IF(M73="","",IF(K73="× Công của người xả",M73*MAX(1,N(I73))/2*100,IF(OR(K73="% máu tối đa của người xả",K73="% máu tối đa của người nhận"),M73*500,"")))</f>
        <v/>
      </c>
      <c r="V73" s="32" t="str">
        <f aca="false">IF(N73="","",IF(K73="× Công của người xả",N73*MAX(1,N(J73))/2*100,IF(OR(K73="% máu tối đa của người xả",K73="% máu tối đa của người nhận"),N73*500,"")))</f>
        <v/>
      </c>
      <c r="W73" s="21"/>
    </row>
    <row r="74" customFormat="false" ht="15" hidden="false" customHeight="true" outlineLevel="0" collapsed="false">
      <c r="A74" s="21"/>
      <c r="B74" s="22" t="str">
        <f aca="false">IF(A74="","",IFERROR(IF(INDEX(NHÂN_VẬT!$B$6:$B$34,MATCH(A74,NHÂN_VẬT!$A$6:$A$34,0))="","",INDEX(NHÂN_VẬT!$B$6:$B$34,MATCH(A74,NHÂN_VẬT!$A$6:$A$34,0))),"mã không có"))</f>
        <v/>
      </c>
      <c r="C74" s="21"/>
      <c r="D74" s="21"/>
      <c r="E74" s="21"/>
      <c r="F74" s="21"/>
      <c r="G74" s="21"/>
      <c r="H74" s="21"/>
      <c r="I74" s="21"/>
      <c r="J74" s="21"/>
      <c r="K74" s="21"/>
      <c r="L74" s="21"/>
      <c r="M74" s="21"/>
      <c r="N74" s="21"/>
      <c r="O74" s="25"/>
      <c r="P74" s="25"/>
      <c r="Q74" s="25"/>
      <c r="R74" s="21"/>
      <c r="S74" s="21"/>
      <c r="T74" s="32" t="str">
        <f aca="false">IF(L74="","",IF(K74="× Công của người xả",L74*MAX(1,N(H74))/2*100,IF(OR(K74="% máu tối đa của người xả",K74="% máu tối đa của người nhận"),L74*500,"")))</f>
        <v/>
      </c>
      <c r="U74" s="32" t="str">
        <f aca="false">IF(M74="","",IF(K74="× Công của người xả",M74*MAX(1,N(I74))/2*100,IF(OR(K74="% máu tối đa của người xả",K74="% máu tối đa của người nhận"),M74*500,"")))</f>
        <v/>
      </c>
      <c r="V74" s="32" t="str">
        <f aca="false">IF(N74="","",IF(K74="× Công của người xả",N74*MAX(1,N(J74))/2*100,IF(OR(K74="% máu tối đa của người xả",K74="% máu tối đa của người nhận"),N74*500,"")))</f>
        <v/>
      </c>
      <c r="W74" s="21"/>
    </row>
    <row r="75" customFormat="false" ht="15" hidden="false" customHeight="true" outlineLevel="0" collapsed="false">
      <c r="A75" s="21"/>
      <c r="B75" s="22" t="str">
        <f aca="false">IF(A75="","",IFERROR(IF(INDEX(NHÂN_VẬT!$B$6:$B$34,MATCH(A75,NHÂN_VẬT!$A$6:$A$34,0))="","",INDEX(NHÂN_VẬT!$B$6:$B$34,MATCH(A75,NHÂN_VẬT!$A$6:$A$34,0))),"mã không có"))</f>
        <v/>
      </c>
      <c r="C75" s="21"/>
      <c r="D75" s="21"/>
      <c r="E75" s="21"/>
      <c r="F75" s="21"/>
      <c r="G75" s="21"/>
      <c r="H75" s="21"/>
      <c r="I75" s="21"/>
      <c r="J75" s="21"/>
      <c r="K75" s="21"/>
      <c r="L75" s="21"/>
      <c r="M75" s="21"/>
      <c r="N75" s="21"/>
      <c r="O75" s="25"/>
      <c r="P75" s="25"/>
      <c r="Q75" s="25"/>
      <c r="R75" s="21"/>
      <c r="S75" s="21"/>
      <c r="T75" s="32" t="str">
        <f aca="false">IF(L75="","",IF(K75="× Công của người xả",L75*MAX(1,N(H75))/2*100,IF(OR(K75="% máu tối đa của người xả",K75="% máu tối đa của người nhận"),L75*500,"")))</f>
        <v/>
      </c>
      <c r="U75" s="32" t="str">
        <f aca="false">IF(M75="","",IF(K75="× Công của người xả",M75*MAX(1,N(I75))/2*100,IF(OR(K75="% máu tối đa của người xả",K75="% máu tối đa của người nhận"),M75*500,"")))</f>
        <v/>
      </c>
      <c r="V75" s="32" t="str">
        <f aca="false">IF(N75="","",IF(K75="× Công của người xả",N75*MAX(1,N(J75))/2*100,IF(OR(K75="% máu tối đa của người xả",K75="% máu tối đa của người nhận"),N75*500,"")))</f>
        <v/>
      </c>
      <c r="W75" s="21"/>
    </row>
    <row r="76" customFormat="false" ht="15" hidden="false" customHeight="true" outlineLevel="0" collapsed="false">
      <c r="A76" s="21"/>
      <c r="B76" s="22" t="str">
        <f aca="false">IF(A76="","",IFERROR(IF(INDEX(NHÂN_VẬT!$B$6:$B$34,MATCH(A76,NHÂN_VẬT!$A$6:$A$34,0))="","",INDEX(NHÂN_VẬT!$B$6:$B$34,MATCH(A76,NHÂN_VẬT!$A$6:$A$34,0))),"mã không có"))</f>
        <v/>
      </c>
      <c r="C76" s="21"/>
      <c r="D76" s="21"/>
      <c r="E76" s="21"/>
      <c r="F76" s="21"/>
      <c r="G76" s="21"/>
      <c r="H76" s="21"/>
      <c r="I76" s="21"/>
      <c r="J76" s="21"/>
      <c r="K76" s="21"/>
      <c r="L76" s="21"/>
      <c r="M76" s="21"/>
      <c r="N76" s="21"/>
      <c r="O76" s="25"/>
      <c r="P76" s="25"/>
      <c r="Q76" s="25"/>
      <c r="R76" s="21"/>
      <c r="S76" s="21"/>
      <c r="T76" s="32" t="str">
        <f aca="false">IF(L76="","",IF(K76="× Công của người xả",L76*MAX(1,N(H76))/2*100,IF(OR(K76="% máu tối đa của người xả",K76="% máu tối đa của người nhận"),L76*500,"")))</f>
        <v/>
      </c>
      <c r="U76" s="32" t="str">
        <f aca="false">IF(M76="","",IF(K76="× Công của người xả",M76*MAX(1,N(I76))/2*100,IF(OR(K76="% máu tối đa của người xả",K76="% máu tối đa của người nhận"),M76*500,"")))</f>
        <v/>
      </c>
      <c r="V76" s="32" t="str">
        <f aca="false">IF(N76="","",IF(K76="× Công của người xả",N76*MAX(1,N(J76))/2*100,IF(OR(K76="% máu tối đa của người xả",K76="% máu tối đa của người nhận"),N76*500,"")))</f>
        <v/>
      </c>
      <c r="W76" s="21"/>
    </row>
    <row r="77" customFormat="false" ht="15" hidden="false" customHeight="true" outlineLevel="0" collapsed="false">
      <c r="A77" s="21"/>
      <c r="B77" s="22" t="str">
        <f aca="false">IF(A77="","",IFERROR(IF(INDEX(NHÂN_VẬT!$B$6:$B$34,MATCH(A77,NHÂN_VẬT!$A$6:$A$34,0))="","",INDEX(NHÂN_VẬT!$B$6:$B$34,MATCH(A77,NHÂN_VẬT!$A$6:$A$34,0))),"mã không có"))</f>
        <v/>
      </c>
      <c r="C77" s="21"/>
      <c r="D77" s="21"/>
      <c r="E77" s="21"/>
      <c r="F77" s="21"/>
      <c r="G77" s="21"/>
      <c r="H77" s="21"/>
      <c r="I77" s="21"/>
      <c r="J77" s="21"/>
      <c r="K77" s="21"/>
      <c r="L77" s="21"/>
      <c r="M77" s="21"/>
      <c r="N77" s="21"/>
      <c r="O77" s="25"/>
      <c r="P77" s="25"/>
      <c r="Q77" s="25"/>
      <c r="R77" s="21"/>
      <c r="S77" s="21"/>
      <c r="T77" s="32" t="str">
        <f aca="false">IF(L77="","",IF(K77="× Công của người xả",L77*MAX(1,N(H77))/2*100,IF(OR(K77="% máu tối đa của người xả",K77="% máu tối đa của người nhận"),L77*500,"")))</f>
        <v/>
      </c>
      <c r="U77" s="32" t="str">
        <f aca="false">IF(M77="","",IF(K77="× Công của người xả",M77*MAX(1,N(I77))/2*100,IF(OR(K77="% máu tối đa của người xả",K77="% máu tối đa của người nhận"),M77*500,"")))</f>
        <v/>
      </c>
      <c r="V77" s="32" t="str">
        <f aca="false">IF(N77="","",IF(K77="× Công của người xả",N77*MAX(1,N(J77))/2*100,IF(OR(K77="% máu tối đa của người xả",K77="% máu tối đa của người nhận"),N77*500,"")))</f>
        <v/>
      </c>
      <c r="W77" s="21"/>
    </row>
    <row r="78" customFormat="false" ht="15" hidden="false" customHeight="true" outlineLevel="0" collapsed="false">
      <c r="A78" s="21"/>
      <c r="B78" s="22" t="str">
        <f aca="false">IF(A78="","",IFERROR(IF(INDEX(NHÂN_VẬT!$B$6:$B$34,MATCH(A78,NHÂN_VẬT!$A$6:$A$34,0))="","",INDEX(NHÂN_VẬT!$B$6:$B$34,MATCH(A78,NHÂN_VẬT!$A$6:$A$34,0))),"mã không có"))</f>
        <v/>
      </c>
      <c r="C78" s="21"/>
      <c r="D78" s="21"/>
      <c r="E78" s="21"/>
      <c r="F78" s="21"/>
      <c r="G78" s="21"/>
      <c r="H78" s="21"/>
      <c r="I78" s="21"/>
      <c r="J78" s="21"/>
      <c r="K78" s="21"/>
      <c r="L78" s="21"/>
      <c r="M78" s="21"/>
      <c r="N78" s="21"/>
      <c r="O78" s="25"/>
      <c r="P78" s="25"/>
      <c r="Q78" s="25"/>
      <c r="R78" s="21"/>
      <c r="S78" s="21"/>
      <c r="T78" s="32" t="str">
        <f aca="false">IF(L78="","",IF(K78="× Công của người xả",L78*MAX(1,N(H78))/2*100,IF(OR(K78="% máu tối đa của người xả",K78="% máu tối đa của người nhận"),L78*500,"")))</f>
        <v/>
      </c>
      <c r="U78" s="32" t="str">
        <f aca="false">IF(M78="","",IF(K78="× Công của người xả",M78*MAX(1,N(I78))/2*100,IF(OR(K78="% máu tối đa của người xả",K78="% máu tối đa của người nhận"),M78*500,"")))</f>
        <v/>
      </c>
      <c r="V78" s="32" t="str">
        <f aca="false">IF(N78="","",IF(K78="× Công của người xả",N78*MAX(1,N(J78))/2*100,IF(OR(K78="% máu tối đa của người xả",K78="% máu tối đa của người nhận"),N78*500,"")))</f>
        <v/>
      </c>
      <c r="W78" s="21"/>
    </row>
    <row r="79" customFormat="false" ht="15" hidden="false" customHeight="true" outlineLevel="0" collapsed="false">
      <c r="A79" s="21"/>
      <c r="B79" s="22" t="str">
        <f aca="false">IF(A79="","",IFERROR(IF(INDEX(NHÂN_VẬT!$B$6:$B$34,MATCH(A79,NHÂN_VẬT!$A$6:$A$34,0))="","",INDEX(NHÂN_VẬT!$B$6:$B$34,MATCH(A79,NHÂN_VẬT!$A$6:$A$34,0))),"mã không có"))</f>
        <v/>
      </c>
      <c r="C79" s="21"/>
      <c r="D79" s="21"/>
      <c r="E79" s="21"/>
      <c r="F79" s="21"/>
      <c r="G79" s="21"/>
      <c r="H79" s="21"/>
      <c r="I79" s="21"/>
      <c r="J79" s="21"/>
      <c r="K79" s="21"/>
      <c r="L79" s="21"/>
      <c r="M79" s="21"/>
      <c r="N79" s="21"/>
      <c r="O79" s="25"/>
      <c r="P79" s="25"/>
      <c r="Q79" s="25"/>
      <c r="R79" s="21"/>
      <c r="S79" s="21"/>
      <c r="T79" s="32" t="str">
        <f aca="false">IF(L79="","",IF(K79="× Công của người xả",L79*MAX(1,N(H79))/2*100,IF(OR(K79="% máu tối đa của người xả",K79="% máu tối đa của người nhận"),L79*500,"")))</f>
        <v/>
      </c>
      <c r="U79" s="32" t="str">
        <f aca="false">IF(M79="","",IF(K79="× Công của người xả",M79*MAX(1,N(I79))/2*100,IF(OR(K79="% máu tối đa của người xả",K79="% máu tối đa của người nhận"),M79*500,"")))</f>
        <v/>
      </c>
      <c r="V79" s="32" t="str">
        <f aca="false">IF(N79="","",IF(K79="× Công của người xả",N79*MAX(1,N(J79))/2*100,IF(OR(K79="% máu tối đa của người xả",K79="% máu tối đa của người nhận"),N79*500,"")))</f>
        <v/>
      </c>
      <c r="W79" s="21"/>
    </row>
    <row r="80" customFormat="false" ht="15" hidden="false" customHeight="true" outlineLevel="0" collapsed="false">
      <c r="A80" s="21"/>
      <c r="B80" s="22" t="str">
        <f aca="false">IF(A80="","",IFERROR(IF(INDEX(NHÂN_VẬT!$B$6:$B$34,MATCH(A80,NHÂN_VẬT!$A$6:$A$34,0))="","",INDEX(NHÂN_VẬT!$B$6:$B$34,MATCH(A80,NHÂN_VẬT!$A$6:$A$34,0))),"mã không có"))</f>
        <v/>
      </c>
      <c r="C80" s="21"/>
      <c r="D80" s="21"/>
      <c r="E80" s="21"/>
      <c r="F80" s="21"/>
      <c r="G80" s="21"/>
      <c r="H80" s="21"/>
      <c r="I80" s="21"/>
      <c r="J80" s="21"/>
      <c r="K80" s="21"/>
      <c r="L80" s="21"/>
      <c r="M80" s="21"/>
      <c r="N80" s="21"/>
      <c r="O80" s="25"/>
      <c r="P80" s="25"/>
      <c r="Q80" s="25"/>
      <c r="R80" s="21"/>
      <c r="S80" s="21"/>
      <c r="T80" s="32" t="str">
        <f aca="false">IF(L80="","",IF(K80="× Công của người xả",L80*MAX(1,N(H80))/2*100,IF(OR(K80="% máu tối đa của người xả",K80="% máu tối đa của người nhận"),L80*500,"")))</f>
        <v/>
      </c>
      <c r="U80" s="32" t="str">
        <f aca="false">IF(M80="","",IF(K80="× Công của người xả",M80*MAX(1,N(I80))/2*100,IF(OR(K80="% máu tối đa của người xả",K80="% máu tối đa của người nhận"),M80*500,"")))</f>
        <v/>
      </c>
      <c r="V80" s="32" t="str">
        <f aca="false">IF(N80="","",IF(K80="× Công của người xả",N80*MAX(1,N(J80))/2*100,IF(OR(K80="% máu tối đa của người xả",K80="% máu tối đa của người nhận"),N80*500,"")))</f>
        <v/>
      </c>
      <c r="W80" s="21"/>
    </row>
    <row r="81" customFormat="false" ht="15" hidden="false" customHeight="true" outlineLevel="0" collapsed="false">
      <c r="A81" s="21"/>
      <c r="B81" s="22" t="str">
        <f aca="false">IF(A81="","",IFERROR(IF(INDEX(NHÂN_VẬT!$B$6:$B$34,MATCH(A81,NHÂN_VẬT!$A$6:$A$34,0))="","",INDEX(NHÂN_VẬT!$B$6:$B$34,MATCH(A81,NHÂN_VẬT!$A$6:$A$34,0))),"mã không có"))</f>
        <v/>
      </c>
      <c r="C81" s="21"/>
      <c r="D81" s="21"/>
      <c r="E81" s="21"/>
      <c r="F81" s="21"/>
      <c r="G81" s="21"/>
      <c r="H81" s="21"/>
      <c r="I81" s="21"/>
      <c r="J81" s="21"/>
      <c r="K81" s="21"/>
      <c r="L81" s="21"/>
      <c r="M81" s="21"/>
      <c r="N81" s="21"/>
      <c r="O81" s="25"/>
      <c r="P81" s="25"/>
      <c r="Q81" s="25"/>
      <c r="R81" s="21"/>
      <c r="S81" s="21"/>
      <c r="T81" s="32" t="str">
        <f aca="false">IF(L81="","",IF(K81="× Công của người xả",L81*MAX(1,N(H81))/2*100,IF(OR(K81="% máu tối đa của người xả",K81="% máu tối đa của người nhận"),L81*500,"")))</f>
        <v/>
      </c>
      <c r="U81" s="32" t="str">
        <f aca="false">IF(M81="","",IF(K81="× Công của người xả",M81*MAX(1,N(I81))/2*100,IF(OR(K81="% máu tối đa của người xả",K81="% máu tối đa của người nhận"),M81*500,"")))</f>
        <v/>
      </c>
      <c r="V81" s="32" t="str">
        <f aca="false">IF(N81="","",IF(K81="× Công của người xả",N81*MAX(1,N(J81))/2*100,IF(OR(K81="% máu tối đa của người xả",K81="% máu tối đa của người nhận"),N81*500,"")))</f>
        <v/>
      </c>
      <c r="W81" s="21"/>
    </row>
    <row r="82" customFormat="false" ht="15" hidden="false" customHeight="true" outlineLevel="0" collapsed="false">
      <c r="A82" s="21"/>
      <c r="B82" s="22" t="str">
        <f aca="false">IF(A82="","",IFERROR(IF(INDEX(NHÂN_VẬT!$B$6:$B$34,MATCH(A82,NHÂN_VẬT!$A$6:$A$34,0))="","",INDEX(NHÂN_VẬT!$B$6:$B$34,MATCH(A82,NHÂN_VẬT!$A$6:$A$34,0))),"mã không có"))</f>
        <v/>
      </c>
      <c r="C82" s="21"/>
      <c r="D82" s="21"/>
      <c r="E82" s="21"/>
      <c r="F82" s="21"/>
      <c r="G82" s="21"/>
      <c r="H82" s="21"/>
      <c r="I82" s="21"/>
      <c r="J82" s="21"/>
      <c r="K82" s="21"/>
      <c r="L82" s="21"/>
      <c r="M82" s="21"/>
      <c r="N82" s="21"/>
      <c r="O82" s="25"/>
      <c r="P82" s="25"/>
      <c r="Q82" s="25"/>
      <c r="R82" s="21"/>
      <c r="S82" s="21"/>
      <c r="T82" s="32" t="str">
        <f aca="false">IF(L82="","",IF(K82="× Công của người xả",L82*MAX(1,N(H82))/2*100,IF(OR(K82="% máu tối đa của người xả",K82="% máu tối đa của người nhận"),L82*500,"")))</f>
        <v/>
      </c>
      <c r="U82" s="32" t="str">
        <f aca="false">IF(M82="","",IF(K82="× Công của người xả",M82*MAX(1,N(I82))/2*100,IF(OR(K82="% máu tối đa của người xả",K82="% máu tối đa của người nhận"),M82*500,"")))</f>
        <v/>
      </c>
      <c r="V82" s="32" t="str">
        <f aca="false">IF(N82="","",IF(K82="× Công của người xả",N82*MAX(1,N(J82))/2*100,IF(OR(K82="% máu tối đa của người xả",K82="% máu tối đa của người nhận"),N82*500,"")))</f>
        <v/>
      </c>
      <c r="W82" s="21"/>
    </row>
    <row r="83" customFormat="false" ht="15" hidden="false" customHeight="true" outlineLevel="0" collapsed="false">
      <c r="A83" s="21"/>
      <c r="B83" s="22" t="str">
        <f aca="false">IF(A83="","",IFERROR(IF(INDEX(NHÂN_VẬT!$B$6:$B$34,MATCH(A83,NHÂN_VẬT!$A$6:$A$34,0))="","",INDEX(NHÂN_VẬT!$B$6:$B$34,MATCH(A83,NHÂN_VẬT!$A$6:$A$34,0))),"mã không có"))</f>
        <v/>
      </c>
      <c r="C83" s="21"/>
      <c r="D83" s="21"/>
      <c r="E83" s="21"/>
      <c r="F83" s="21"/>
      <c r="G83" s="21"/>
      <c r="H83" s="21"/>
      <c r="I83" s="21"/>
      <c r="J83" s="21"/>
      <c r="K83" s="21"/>
      <c r="L83" s="21"/>
      <c r="M83" s="21"/>
      <c r="N83" s="21"/>
      <c r="O83" s="25"/>
      <c r="P83" s="25"/>
      <c r="Q83" s="25"/>
      <c r="R83" s="21"/>
      <c r="S83" s="21"/>
      <c r="T83" s="32" t="str">
        <f aca="false">IF(L83="","",IF(K83="× Công của người xả",L83*MAX(1,N(H83))/2*100,IF(OR(K83="% máu tối đa của người xả",K83="% máu tối đa của người nhận"),L83*500,"")))</f>
        <v/>
      </c>
      <c r="U83" s="32" t="str">
        <f aca="false">IF(M83="","",IF(K83="× Công của người xả",M83*MAX(1,N(I83))/2*100,IF(OR(K83="% máu tối đa của người xả",K83="% máu tối đa của người nhận"),M83*500,"")))</f>
        <v/>
      </c>
      <c r="V83" s="32" t="str">
        <f aca="false">IF(N83="","",IF(K83="× Công của người xả",N83*MAX(1,N(J83))/2*100,IF(OR(K83="% máu tối đa của người xả",K83="% máu tối đa của người nhận"),N83*500,"")))</f>
        <v/>
      </c>
      <c r="W83" s="21"/>
    </row>
    <row r="84" customFormat="false" ht="15" hidden="false" customHeight="true" outlineLevel="0" collapsed="false">
      <c r="A84" s="21"/>
      <c r="B84" s="22" t="str">
        <f aca="false">IF(A84="","",IFERROR(IF(INDEX(NHÂN_VẬT!$B$6:$B$34,MATCH(A84,NHÂN_VẬT!$A$6:$A$34,0))="","",INDEX(NHÂN_VẬT!$B$6:$B$34,MATCH(A84,NHÂN_VẬT!$A$6:$A$34,0))),"mã không có"))</f>
        <v/>
      </c>
      <c r="C84" s="21"/>
      <c r="D84" s="21"/>
      <c r="E84" s="21"/>
      <c r="F84" s="21"/>
      <c r="G84" s="21"/>
      <c r="H84" s="21"/>
      <c r="I84" s="21"/>
      <c r="J84" s="21"/>
      <c r="K84" s="21"/>
      <c r="L84" s="21"/>
      <c r="M84" s="21"/>
      <c r="N84" s="21"/>
      <c r="O84" s="25"/>
      <c r="P84" s="25"/>
      <c r="Q84" s="25"/>
      <c r="R84" s="21"/>
      <c r="S84" s="21"/>
      <c r="T84" s="32" t="str">
        <f aca="false">IF(L84="","",IF(K84="× Công của người xả",L84*MAX(1,N(H84))/2*100,IF(OR(K84="% máu tối đa của người xả",K84="% máu tối đa của người nhận"),L84*500,"")))</f>
        <v/>
      </c>
      <c r="U84" s="32" t="str">
        <f aca="false">IF(M84="","",IF(K84="× Công của người xả",M84*MAX(1,N(I84))/2*100,IF(OR(K84="% máu tối đa của người xả",K84="% máu tối đa của người nhận"),M84*500,"")))</f>
        <v/>
      </c>
      <c r="V84" s="32" t="str">
        <f aca="false">IF(N84="","",IF(K84="× Công của người xả",N84*MAX(1,N(J84))/2*100,IF(OR(K84="% máu tối đa của người xả",K84="% máu tối đa của người nhận"),N84*500,"")))</f>
        <v/>
      </c>
      <c r="W84" s="21"/>
    </row>
  </sheetData>
  <dataValidations count="7">
    <dataValidation allowBlank="true" error="Giá trị này không có trong DANH_MỤC. Vẫn dùng được nhưng nên thêm vào danh sách." errorStyle="warning" errorTitle="Ngoài danh sách" operator="between" showDropDown="false" showErrorMessage="true" showInputMessage="false" sqref="C5:C84" type="list">
      <formula1>DANH_MỤC!$L$2:$L$3</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D5:D84" type="list">
      <formula1>DANH_MỤC!$G$2:$G$16</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E5:E84" type="list">
      <formula1>DANH_MỤC!$K$2:$K$6</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F5:F84" type="list">
      <formula1>DANH_MỤC!$C$2:$C$12</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G5:G84" type="list">
      <formula1>DANH_MỤC!$D$2:$D$16</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K5:K84" type="list">
      <formula1>DANH_MỤC!$E$2:$E$11</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S5:S84" type="list">
      <formula1>HIỆU_ỨNG!$A$5:$A$44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6" min="5" style="1" width="12"/>
    <col collapsed="false" customWidth="true" hidden="false" outlineLevel="0" max="8" min="7" style="1" width="14"/>
    <col collapsed="false" customWidth="true" hidden="false" outlineLevel="0" max="9" min="9" style="1" width="18"/>
  </cols>
  <sheetData>
    <row r="1" customFormat="false" ht="18" hidden="false" customHeight="true" outlineLevel="0" collapsed="false">
      <c r="A1" s="2" t="s">
        <v>586</v>
      </c>
    </row>
    <row r="2" customFormat="false" ht="15" hidden="false" customHeight="true" outlineLevel="0" collapsed="false">
      <c r="A2" s="9" t="s">
        <v>587</v>
      </c>
    </row>
    <row r="4" customFormat="false" ht="42" hidden="false" customHeight="true" outlineLevel="0" collapsed="false">
      <c r="A4" s="10" t="s">
        <v>323</v>
      </c>
      <c r="B4" s="10" t="s">
        <v>324</v>
      </c>
      <c r="C4" s="10" t="s">
        <v>287</v>
      </c>
      <c r="D4" s="10" t="s">
        <v>588</v>
      </c>
      <c r="E4" s="10" t="s">
        <v>589</v>
      </c>
      <c r="F4" s="10" t="s">
        <v>590</v>
      </c>
      <c r="G4" s="10" t="s">
        <v>591</v>
      </c>
      <c r="H4" s="10" t="s">
        <v>592</v>
      </c>
      <c r="I4" s="10" t="s">
        <v>593</v>
      </c>
    </row>
    <row r="5" customFormat="false" ht="15" hidden="false" customHeight="true" outlineLevel="0" collapsed="false">
      <c r="A5" s="22" t="str">
        <f aca="false">NHÂN_VẬT!$A$6</f>
        <v>NV01</v>
      </c>
      <c r="B5" s="22" t="str">
        <f aca="false">IF(NHÂN_VẬT!$B$6="","",NHÂN_VẬT!$B$6)</f>
        <v>HCM-THỦ KHO HIẾU</v>
      </c>
      <c r="C5" s="22" t="str">
        <f aca="false">IF(NHÂN_VẬT!$D$6="","",NHÂN_VẬT!$D$6)</f>
        <v>Tank</v>
      </c>
      <c r="D5" s="32" t="n">
        <f aca="false">IFERROR(INDEX(KHUNG_VAI_TRÒ!$K$9:$K$15,MATCH(C5,KHUNG_VAI_TRÒ!$A$9:$A$15,0)),"")</f>
        <v>60</v>
      </c>
      <c r="E5" s="32" t="n">
        <f aca="false">IF(COUNTIFS(SKILL_THÀNH_PHẦN!$A$5:$A$84,$A5,SKILL_THÀNH_PHẦN!$C$5:$C$84,"Skill nộ")=0,"",SUMIFS(SKILL_THÀNH_PHẦN!$T$5:$T$84,SKILL_THÀNH_PHẦN!$A$5:$A$84,$A5,SKILL_THÀNH_PHẦN!$C$5:$C$84,"Skill nộ"))</f>
        <v>50</v>
      </c>
      <c r="F5" s="32" t="n">
        <f aca="false">IF(COUNTIFS(SKILL_THÀNH_PHẦN!$A$5:$A$84,$A5,SKILL_THÀNH_PHẦN!$C$5:$C$84,"Skill nộ")=0,"",SUMIFS(SKILL_THÀNH_PHẦN!$U$5:$U$84,SKILL_THÀNH_PHẦN!$A$5:$A$84,$A5,SKILL_THÀNH_PHẦN!$C$5:$C$84,"Skill nộ"))</f>
        <v>60</v>
      </c>
      <c r="G5" s="32" t="n">
        <f aca="false">IF(COUNTIFS(SKILL_THÀNH_PHẦN!$A$5:$A$84,$A5,SKILL_THÀNH_PHẦN!$C$5:$C$84,"Skill nộ")=0,"",SUMIFS(SKILL_THÀNH_PHẦN!$V$5:$V$84,SKILL_THÀNH_PHẦN!$A$5:$A$84,$A5,SKILL_THÀNH_PHẦN!$C$5:$C$84,"Skill nộ"))</f>
        <v>75</v>
      </c>
      <c r="H5" s="31" t="n">
        <f aca="false">IF(OR(E5="",D5=""),"",E5/D5)</f>
        <v>0.833333333333333</v>
      </c>
      <c r="I5" s="32" t="n">
        <f aca="false">IF(COUNTIFS(SKILL_THÀNH_PHẦN!$A$5:$A$84,$A5,SKILL_THÀNH_PHẦN!$C$5:$C$84,"Skill nộ")=0,"",COUNTIFS(SKILL_THÀNH_PHẦN!$A$5:$A$84,$A5,SKILL_THÀNH_PHẦN!$C$5:$C$84,"Skill nộ")-(COUNTIFS(SKILL_THÀNH_PHẦN!$A$5:$A$84,$A5,SKILL_THÀNH_PHẦN!$C$5:$C$84,"Skill nộ",SKILL_THÀNH_PHẦN!$F$5:$F$84,"Sát thương")+COUNTIFS(SKILL_THÀNH_PHẦN!$A$5:$A$84,$A5,SKILL_THÀNH_PHẦN!$C$5:$C$84,"Skill nộ",SKILL_THÀNH_PHẦN!$F$5:$F$84,"Hồi máu")+COUNTIFS(SKILL_THÀNH_PHẦN!$A$5:$A$84,$A5,SKILL_THÀNH_PHẦN!$C$5:$C$84,"Skill nộ",SKILL_THÀNH_PHẦN!$F$5:$F$84,"Khiên")))</f>
        <v>0</v>
      </c>
    </row>
    <row r="6" customFormat="false" ht="15" hidden="false" customHeight="true" outlineLevel="0" collapsed="false">
      <c r="A6" s="22" t="str">
        <f aca="false">NHÂN_VẬT!$A$7</f>
        <v>NV02</v>
      </c>
      <c r="B6" s="22" t="str">
        <f aca="false">IF(NHÂN_VẬT!$B$7="","",NHÂN_VẬT!$B$7)</f>
        <v>HN-PHỤ KHO HƯNG</v>
      </c>
      <c r="C6" s="22" t="str">
        <f aca="false">IF(NHÂN_VẬT!$D$7="","",NHÂN_VẬT!$D$7)</f>
        <v>Tank</v>
      </c>
      <c r="D6" s="32" t="n">
        <f aca="false">IFERROR(INDEX(KHUNG_VAI_TRÒ!$K$9:$K$15,MATCH(C6,KHUNG_VAI_TRÒ!$A$9:$A$15,0)),"")</f>
        <v>60</v>
      </c>
      <c r="E6" s="32" t="n">
        <f aca="false">IF(COUNTIFS(SKILL_THÀNH_PHẦN!$A$5:$A$84,$A6,SKILL_THÀNH_PHẦN!$C$5:$C$84,"Skill nộ")=0,"",SUMIFS(SKILL_THÀNH_PHẦN!$T$5:$T$84,SKILL_THÀNH_PHẦN!$A$5:$A$84,$A6,SKILL_THÀNH_PHẦN!$C$5:$C$84,"Skill nộ"))</f>
        <v>35</v>
      </c>
      <c r="F6" s="32" t="n">
        <f aca="false">IF(COUNTIFS(SKILL_THÀNH_PHẦN!$A$5:$A$84,$A6,SKILL_THÀNH_PHẦN!$C$5:$C$84,"Skill nộ")=0,"",SUMIFS(SKILL_THÀNH_PHẦN!$U$5:$U$84,SKILL_THÀNH_PHẦN!$A$5:$A$84,$A6,SKILL_THÀNH_PHẦN!$C$5:$C$84,"Skill nộ"))</f>
        <v>45</v>
      </c>
      <c r="G6" s="32" t="n">
        <f aca="false">IF(COUNTIFS(SKILL_THÀNH_PHẦN!$A$5:$A$84,$A6,SKILL_THÀNH_PHẦN!$C$5:$C$84,"Skill nộ")=0,"",SUMIFS(SKILL_THÀNH_PHẦN!$V$5:$V$84,SKILL_THÀNH_PHẦN!$A$5:$A$84,$A6,SKILL_THÀNH_PHẦN!$C$5:$C$84,"Skill nộ"))</f>
        <v>55</v>
      </c>
      <c r="H6" s="31" t="n">
        <f aca="false">IF(OR(E6="",D6=""),"",E6/D6)</f>
        <v>0.583333333333333</v>
      </c>
      <c r="I6" s="32" t="n">
        <f aca="false">IF(COUNTIFS(SKILL_THÀNH_PHẦN!$A$5:$A$84,$A6,SKILL_THÀNH_PHẦN!$C$5:$C$84,"Skill nộ")=0,"",COUNTIFS(SKILL_THÀNH_PHẦN!$A$5:$A$84,$A6,SKILL_THÀNH_PHẦN!$C$5:$C$84,"Skill nộ")-(COUNTIFS(SKILL_THÀNH_PHẦN!$A$5:$A$84,$A6,SKILL_THÀNH_PHẦN!$C$5:$C$84,"Skill nộ",SKILL_THÀNH_PHẦN!$F$5:$F$84,"Sát thương")+COUNTIFS(SKILL_THÀNH_PHẦN!$A$5:$A$84,$A6,SKILL_THÀNH_PHẦN!$C$5:$C$84,"Skill nộ",SKILL_THÀNH_PHẦN!$F$5:$F$84,"Hồi máu")+COUNTIFS(SKILL_THÀNH_PHẦN!$A$5:$A$84,$A6,SKILL_THÀNH_PHẦN!$C$5:$C$84,"Skill nộ",SKILL_THÀNH_PHẦN!$F$5:$F$84,"Khiên")))</f>
        <v>1</v>
      </c>
    </row>
    <row r="7" customFormat="false" ht="15" hidden="false" customHeight="true" outlineLevel="0" collapsed="false">
      <c r="A7" s="22" t="str">
        <f aca="false">NHÂN_VẬT!$A$8</f>
        <v>NV03</v>
      </c>
      <c r="B7" s="22" t="str">
        <f aca="false">IF(NHÂN_VẬT!$B$8="","",NHÂN_VẬT!$B$8)</f>
        <v>HCM-PHỤ KHO VŨ</v>
      </c>
      <c r="C7" s="22" t="str">
        <f aca="false">IF(NHÂN_VẬT!$D$8="","",NHÂN_VẬT!$D$8)</f>
        <v>Vật lý</v>
      </c>
      <c r="D7" s="32" t="n">
        <f aca="false">IFERROR(INDEX(KHUNG_VAI_TRÒ!$K$9:$K$15,MATCH(C7,KHUNG_VAI_TRÒ!$A$9:$A$15,0)),"")</f>
        <v>100</v>
      </c>
      <c r="E7" s="32" t="n">
        <f aca="false">IF(COUNTIFS(SKILL_THÀNH_PHẦN!$A$5:$A$84,$A7,SKILL_THÀNH_PHẦN!$C$5:$C$84,"Skill nộ")=0,"",SUMIFS(SKILL_THÀNH_PHẦN!$T$5:$T$84,SKILL_THÀNH_PHẦN!$A$5:$A$84,$A7,SKILL_THÀNH_PHẦN!$C$5:$C$84,"Skill nộ"))</f>
        <v>100</v>
      </c>
      <c r="F7" s="32" t="n">
        <f aca="false">IF(COUNTIFS(SKILL_THÀNH_PHẦN!$A$5:$A$84,$A7,SKILL_THÀNH_PHẦN!$C$5:$C$84,"Skill nộ")=0,"",SUMIFS(SKILL_THÀNH_PHẦN!$U$5:$U$84,SKILL_THÀNH_PHẦN!$A$5:$A$84,$A7,SKILL_THÀNH_PHẦN!$C$5:$C$84,"Skill nộ"))</f>
        <v>110</v>
      </c>
      <c r="G7" s="32" t="n">
        <f aca="false">IF(COUNTIFS(SKILL_THÀNH_PHẦN!$A$5:$A$84,$A7,SKILL_THÀNH_PHẦN!$C$5:$C$84,"Skill nộ")=0,"",SUMIFS(SKILL_THÀNH_PHẦN!$V$5:$V$84,SKILL_THÀNH_PHẦN!$A$5:$A$84,$A7,SKILL_THÀNH_PHẦN!$C$5:$C$84,"Skill nộ"))</f>
        <v>120</v>
      </c>
      <c r="H7" s="31" t="n">
        <f aca="false">IF(OR(E7="",D7=""),"",E7/D7)</f>
        <v>1</v>
      </c>
      <c r="I7" s="32" t="n">
        <f aca="false">IF(COUNTIFS(SKILL_THÀNH_PHẦN!$A$5:$A$84,$A7,SKILL_THÀNH_PHẦN!$C$5:$C$84,"Skill nộ")=0,"",COUNTIFS(SKILL_THÀNH_PHẦN!$A$5:$A$84,$A7,SKILL_THÀNH_PHẦN!$C$5:$C$84,"Skill nộ")-(COUNTIFS(SKILL_THÀNH_PHẦN!$A$5:$A$84,$A7,SKILL_THÀNH_PHẦN!$C$5:$C$84,"Skill nộ",SKILL_THÀNH_PHẦN!$F$5:$F$84,"Sát thương")+COUNTIFS(SKILL_THÀNH_PHẦN!$A$5:$A$84,$A7,SKILL_THÀNH_PHẦN!$C$5:$C$84,"Skill nộ",SKILL_THÀNH_PHẦN!$F$5:$F$84,"Hồi máu")+COUNTIFS(SKILL_THÀNH_PHẦN!$A$5:$A$84,$A7,SKILL_THÀNH_PHẦN!$C$5:$C$84,"Skill nộ",SKILL_THÀNH_PHẦN!$F$5:$F$84,"Khiên")))</f>
        <v>1</v>
      </c>
    </row>
    <row r="8" customFormat="false" ht="15" hidden="false" customHeight="true" outlineLevel="0" collapsed="false">
      <c r="A8" s="22" t="str">
        <f aca="false">NHÂN_VẬT!$A$9</f>
        <v>NV04</v>
      </c>
      <c r="B8" s="22" t="str">
        <f aca="false">IF(NHÂN_VẬT!$B$9="","",NHÂN_VẬT!$B$9)</f>
        <v>HCM-SALE THẢO</v>
      </c>
      <c r="C8" s="22" t="str">
        <f aca="false">IF(NHÂN_VẬT!$D$9="","",NHÂN_VẬT!$D$9)</f>
        <v>Vật lý</v>
      </c>
      <c r="D8" s="32" t="n">
        <f aca="false">IFERROR(INDEX(KHUNG_VAI_TRÒ!$K$9:$K$15,MATCH(C8,KHUNG_VAI_TRÒ!$A$9:$A$15,0)),"")</f>
        <v>100</v>
      </c>
      <c r="E8" s="32" t="n">
        <f aca="false">IF(COUNTIFS(SKILL_THÀNH_PHẦN!$A$5:$A$84,$A8,SKILL_THÀNH_PHẦN!$C$5:$C$84,"Skill nộ")=0,"",SUMIFS(SKILL_THÀNH_PHẦN!$T$5:$T$84,SKILL_THÀNH_PHẦN!$A$5:$A$84,$A8,SKILL_THÀNH_PHẦN!$C$5:$C$84,"Skill nộ"))</f>
        <v>100</v>
      </c>
      <c r="F8" s="32" t="n">
        <f aca="false">IF(COUNTIFS(SKILL_THÀNH_PHẦN!$A$5:$A$84,$A8,SKILL_THÀNH_PHẦN!$C$5:$C$84,"Skill nộ")=0,"",SUMIFS(SKILL_THÀNH_PHẦN!$U$5:$U$84,SKILL_THÀNH_PHẦN!$A$5:$A$84,$A8,SKILL_THÀNH_PHẦN!$C$5:$C$84,"Skill nộ"))</f>
        <v>110</v>
      </c>
      <c r="G8" s="32" t="n">
        <f aca="false">IF(COUNTIFS(SKILL_THÀNH_PHẦN!$A$5:$A$84,$A8,SKILL_THÀNH_PHẦN!$C$5:$C$84,"Skill nộ")=0,"",SUMIFS(SKILL_THÀNH_PHẦN!$V$5:$V$84,SKILL_THÀNH_PHẦN!$A$5:$A$84,$A8,SKILL_THÀNH_PHẦN!$C$5:$C$84,"Skill nộ"))</f>
        <v>120</v>
      </c>
      <c r="H8" s="31" t="n">
        <f aca="false">IF(OR(E8="",D8=""),"",E8/D8)</f>
        <v>1</v>
      </c>
      <c r="I8" s="32" t="n">
        <f aca="false">IF(COUNTIFS(SKILL_THÀNH_PHẦN!$A$5:$A$84,$A8,SKILL_THÀNH_PHẦN!$C$5:$C$84,"Skill nộ")=0,"",COUNTIFS(SKILL_THÀNH_PHẦN!$A$5:$A$84,$A8,SKILL_THÀNH_PHẦN!$C$5:$C$84,"Skill nộ")-(COUNTIFS(SKILL_THÀNH_PHẦN!$A$5:$A$84,$A8,SKILL_THÀNH_PHẦN!$C$5:$C$84,"Skill nộ",SKILL_THÀNH_PHẦN!$F$5:$F$84,"Sát thương")+COUNTIFS(SKILL_THÀNH_PHẦN!$A$5:$A$84,$A8,SKILL_THÀNH_PHẦN!$C$5:$C$84,"Skill nộ",SKILL_THÀNH_PHẦN!$F$5:$F$84,"Hồi máu")+COUNTIFS(SKILL_THÀNH_PHẦN!$A$5:$A$84,$A8,SKILL_THÀNH_PHẦN!$C$5:$C$84,"Skill nộ",SKILL_THÀNH_PHẦN!$F$5:$F$84,"Khiên")))</f>
        <v>1</v>
      </c>
    </row>
    <row r="9" customFormat="false" ht="15" hidden="false" customHeight="true" outlineLevel="0" collapsed="false">
      <c r="A9" s="22" t="str">
        <f aca="false">NHÂN_VẬT!$A$10</f>
        <v>NV05</v>
      </c>
      <c r="B9" s="22" t="str">
        <f aca="false">IF(NHÂN_VẬT!$B$10="","",NHÂN_VẬT!$B$10)</f>
        <v>HCM-SALE DƯƠNG</v>
      </c>
      <c r="C9" s="22" t="str">
        <f aca="false">IF(NHÂN_VẬT!$D$10="","",NHÂN_VẬT!$D$10)</f>
        <v>Phép</v>
      </c>
      <c r="D9" s="32" t="n">
        <f aca="false">IFERROR(INDEX(KHUNG_VAI_TRÒ!$K$9:$K$15,MATCH(C9,KHUNG_VAI_TRÒ!$A$9:$A$15,0)),"")</f>
        <v>110</v>
      </c>
      <c r="E9" s="32" t="n">
        <f aca="false">IF(COUNTIFS(SKILL_THÀNH_PHẦN!$A$5:$A$84,$A9,SKILL_THÀNH_PHẦN!$C$5:$C$84,"Skill nộ")=0,"",SUMIFS(SKILL_THÀNH_PHẦN!$T$5:$T$84,SKILL_THÀNH_PHẦN!$A$5:$A$84,$A9,SKILL_THÀNH_PHẦN!$C$5:$C$84,"Skill nộ"))</f>
        <v>110</v>
      </c>
      <c r="F9" s="32" t="n">
        <f aca="false">IF(COUNTIFS(SKILL_THÀNH_PHẦN!$A$5:$A$84,$A9,SKILL_THÀNH_PHẦN!$C$5:$C$84,"Skill nộ")=0,"",SUMIFS(SKILL_THÀNH_PHẦN!$U$5:$U$84,SKILL_THÀNH_PHẦN!$A$5:$A$84,$A9,SKILL_THÀNH_PHẦN!$C$5:$C$84,"Skill nộ"))</f>
        <v>120</v>
      </c>
      <c r="G9" s="32" t="n">
        <f aca="false">IF(COUNTIFS(SKILL_THÀNH_PHẦN!$A$5:$A$84,$A9,SKILL_THÀNH_PHẦN!$C$5:$C$84,"Skill nộ")=0,"",SUMIFS(SKILL_THÀNH_PHẦN!$V$5:$V$84,SKILL_THÀNH_PHẦN!$A$5:$A$84,$A9,SKILL_THÀNH_PHẦN!$C$5:$C$84,"Skill nộ"))</f>
        <v>195</v>
      </c>
      <c r="H9" s="31" t="n">
        <f aca="false">IF(OR(E9="",D9=""),"",E9/D9)</f>
        <v>1</v>
      </c>
      <c r="I9" s="32" t="n">
        <f aca="false">IF(COUNTIFS(SKILL_THÀNH_PHẦN!$A$5:$A$84,$A9,SKILL_THÀNH_PHẦN!$C$5:$C$84,"Skill nộ")=0,"",COUNTIFS(SKILL_THÀNH_PHẦN!$A$5:$A$84,$A9,SKILL_THÀNH_PHẦN!$C$5:$C$84,"Skill nộ")-(COUNTIFS(SKILL_THÀNH_PHẦN!$A$5:$A$84,$A9,SKILL_THÀNH_PHẦN!$C$5:$C$84,"Skill nộ",SKILL_THÀNH_PHẦN!$F$5:$F$84,"Sát thương")+COUNTIFS(SKILL_THÀNH_PHẦN!$A$5:$A$84,$A9,SKILL_THÀNH_PHẦN!$C$5:$C$84,"Skill nộ",SKILL_THÀNH_PHẦN!$F$5:$F$84,"Hồi máu")+COUNTIFS(SKILL_THÀNH_PHẦN!$A$5:$A$84,$A9,SKILL_THÀNH_PHẦN!$C$5:$C$84,"Skill nộ",SKILL_THÀNH_PHẦN!$F$5:$F$84,"Khiên")))</f>
        <v>2</v>
      </c>
    </row>
    <row r="10" customFormat="false" ht="15" hidden="false" customHeight="true" outlineLevel="0" collapsed="false">
      <c r="A10" s="22" t="str">
        <f aca="false">NHÂN_VẬT!$A$11</f>
        <v>NV06</v>
      </c>
      <c r="B10" s="22" t="str">
        <f aca="false">IF(NHÂN_VẬT!$B$11="","",NHÂN_VẬT!$B$11)</f>
        <v>HCM-SALE DUYÊN</v>
      </c>
      <c r="C10" s="22" t="str">
        <f aca="false">IF(NHÂN_VẬT!$D$11="","",NHÂN_VẬT!$D$11)</f>
        <v>Hỗ trợ</v>
      </c>
      <c r="D10" s="32" t="n">
        <f aca="false">IFERROR(INDEX(KHUNG_VAI_TRÒ!$K$9:$K$15,MATCH(C10,KHUNG_VAI_TRÒ!$A$9:$A$15,0)),"")</f>
        <v>100</v>
      </c>
      <c r="E10" s="32" t="n">
        <f aca="false">IF(COUNTIFS(SKILL_THÀNH_PHẦN!$A$5:$A$84,$A10,SKILL_THÀNH_PHẦN!$C$5:$C$84,"Skill nộ")=0,"",SUMIFS(SKILL_THÀNH_PHẦN!$T$5:$T$84,SKILL_THÀNH_PHẦN!$A$5:$A$84,$A10,SKILL_THÀNH_PHẦN!$C$5:$C$84,"Skill nộ"))</f>
        <v>90</v>
      </c>
      <c r="F10" s="32" t="n">
        <f aca="false">IF(COUNTIFS(SKILL_THÀNH_PHẦN!$A$5:$A$84,$A10,SKILL_THÀNH_PHẦN!$C$5:$C$84,"Skill nộ")=0,"",SUMIFS(SKILL_THÀNH_PHẦN!$U$5:$U$84,SKILL_THÀNH_PHẦN!$A$5:$A$84,$A10,SKILL_THÀNH_PHẦN!$C$5:$C$84,"Skill nộ"))</f>
        <v>110</v>
      </c>
      <c r="G10" s="32" t="n">
        <f aca="false">IF(COUNTIFS(SKILL_THÀNH_PHẦN!$A$5:$A$84,$A10,SKILL_THÀNH_PHẦN!$C$5:$C$84,"Skill nộ")=0,"",SUMIFS(SKILL_THÀNH_PHẦN!$V$5:$V$84,SKILL_THÀNH_PHẦN!$A$5:$A$84,$A10,SKILL_THÀNH_PHẦN!$C$5:$C$84,"Skill nộ"))</f>
        <v>110</v>
      </c>
      <c r="H10" s="31" t="n">
        <f aca="false">IF(OR(E10="",D10=""),"",E10/D10)</f>
        <v>0.9</v>
      </c>
      <c r="I10" s="32" t="n">
        <f aca="false">IF(COUNTIFS(SKILL_THÀNH_PHẦN!$A$5:$A$84,$A10,SKILL_THÀNH_PHẦN!$C$5:$C$84,"Skill nộ")=0,"",COUNTIFS(SKILL_THÀNH_PHẦN!$A$5:$A$84,$A10,SKILL_THÀNH_PHẦN!$C$5:$C$84,"Skill nộ")-(COUNTIFS(SKILL_THÀNH_PHẦN!$A$5:$A$84,$A10,SKILL_THÀNH_PHẦN!$C$5:$C$84,"Skill nộ",SKILL_THÀNH_PHẦN!$F$5:$F$84,"Sát thương")+COUNTIFS(SKILL_THÀNH_PHẦN!$A$5:$A$84,$A10,SKILL_THÀNH_PHẦN!$C$5:$C$84,"Skill nộ",SKILL_THÀNH_PHẦN!$F$5:$F$84,"Hồi máu")+COUNTIFS(SKILL_THÀNH_PHẦN!$A$5:$A$84,$A10,SKILL_THÀNH_PHẦN!$C$5:$C$84,"Skill nộ",SKILL_THÀNH_PHẦN!$F$5:$F$84,"Khiên")))</f>
        <v>1</v>
      </c>
    </row>
    <row r="11" customFormat="false" ht="15" hidden="false" customHeight="true" outlineLevel="0" collapsed="false">
      <c r="A11" s="22" t="str">
        <f aca="false">NHÂN_VẬT!$A$12</f>
        <v>NV07</v>
      </c>
      <c r="B11" s="22" t="str">
        <f aca="false">IF(NHÂN_VẬT!$B$12="","",NHÂN_VẬT!$B$12)</f>
        <v>HCM-KẾ TOÁN THU</v>
      </c>
      <c r="C11" s="22" t="str">
        <f aca="false">IF(NHÂN_VẬT!$D$12="","",NHÂN_VẬT!$D$12)</f>
        <v>Hỗ trợ</v>
      </c>
      <c r="D11" s="32" t="n">
        <f aca="false">IFERROR(INDEX(KHUNG_VAI_TRÒ!$K$9:$K$15,MATCH(C11,KHUNG_VAI_TRÒ!$A$9:$A$15,0)),"")</f>
        <v>100</v>
      </c>
      <c r="E11" s="32" t="n">
        <f aca="false">IF(COUNTIFS(SKILL_THÀNH_PHẦN!$A$5:$A$84,$A11,SKILL_THÀNH_PHẦN!$C$5:$C$84,"Skill nộ")=0,"",SUMIFS(SKILL_THÀNH_PHẦN!$T$5:$T$84,SKILL_THÀNH_PHẦN!$A$5:$A$84,$A11,SKILL_THÀNH_PHẦN!$C$5:$C$84,"Skill nộ"))</f>
        <v>0</v>
      </c>
      <c r="F11" s="32" t="n">
        <f aca="false">IF(COUNTIFS(SKILL_THÀNH_PHẦN!$A$5:$A$84,$A11,SKILL_THÀNH_PHẦN!$C$5:$C$84,"Skill nộ")=0,"",SUMIFS(SKILL_THÀNH_PHẦN!$U$5:$U$84,SKILL_THÀNH_PHẦN!$A$5:$A$84,$A11,SKILL_THÀNH_PHẦN!$C$5:$C$84,"Skill nộ"))</f>
        <v>0</v>
      </c>
      <c r="G11" s="32" t="n">
        <f aca="false">IF(COUNTIFS(SKILL_THÀNH_PHẦN!$A$5:$A$84,$A11,SKILL_THÀNH_PHẦN!$C$5:$C$84,"Skill nộ")=0,"",SUMIFS(SKILL_THÀNH_PHẦN!$V$5:$V$84,SKILL_THÀNH_PHẦN!$A$5:$A$84,$A11,SKILL_THÀNH_PHẦN!$C$5:$C$84,"Skill nộ"))</f>
        <v>0</v>
      </c>
      <c r="H11" s="31" t="n">
        <f aca="false">IF(OR(E11="",D11=""),"",E11/D11)</f>
        <v>0</v>
      </c>
      <c r="I11" s="32" t="n">
        <f aca="false">IF(COUNTIFS(SKILL_THÀNH_PHẦN!$A$5:$A$84,$A11,SKILL_THÀNH_PHẦN!$C$5:$C$84,"Skill nộ")=0,"",COUNTIFS(SKILL_THÀNH_PHẦN!$A$5:$A$84,$A11,SKILL_THÀNH_PHẦN!$C$5:$C$84,"Skill nộ")-(COUNTIFS(SKILL_THÀNH_PHẦN!$A$5:$A$84,$A11,SKILL_THÀNH_PHẦN!$C$5:$C$84,"Skill nộ",SKILL_THÀNH_PHẦN!$F$5:$F$84,"Sát thương")+COUNTIFS(SKILL_THÀNH_PHẦN!$A$5:$A$84,$A11,SKILL_THÀNH_PHẦN!$C$5:$C$84,"Skill nộ",SKILL_THÀNH_PHẦN!$F$5:$F$84,"Hồi máu")+COUNTIFS(SKILL_THÀNH_PHẦN!$A$5:$A$84,$A11,SKILL_THÀNH_PHẦN!$C$5:$C$84,"Skill nộ",SKILL_THÀNH_PHẦN!$F$5:$F$84,"Khiên")))</f>
        <v>1</v>
      </c>
    </row>
    <row r="12" customFormat="false" ht="15" hidden="false" customHeight="true" outlineLevel="0" collapsed="false">
      <c r="A12" s="22" t="str">
        <f aca="false">NHÂN_VẬT!$A$13</f>
        <v>NV08</v>
      </c>
      <c r="B12" s="22" t="str">
        <f aca="false">IF(NHÂN_VẬT!$B$13="","",NHÂN_VẬT!$B$13)</f>
        <v>HCM-SALE NHÂN</v>
      </c>
      <c r="C12" s="22" t="str">
        <f aca="false">IF(NHÂN_VẬT!$D$13="","",NHÂN_VẬT!$D$13)</f>
        <v>Sát thủ</v>
      </c>
      <c r="D12" s="32" t="n">
        <f aca="false">IFERROR(INDEX(KHUNG_VAI_TRÒ!$K$9:$K$15,MATCH(C12,KHUNG_VAI_TRÒ!$A$9:$A$15,0)),"")</f>
        <v>90</v>
      </c>
      <c r="E12" s="32" t="n">
        <f aca="false">IF(COUNTIFS(SKILL_THÀNH_PHẦN!$A$5:$A$84,$A12,SKILL_THÀNH_PHẦN!$C$5:$C$84,"Skill nộ")=0,"",SUMIFS(SKILL_THÀNH_PHẦN!$T$5:$T$84,SKILL_THÀNH_PHẦN!$A$5:$A$84,$A12,SKILL_THÀNH_PHẦN!$C$5:$C$84,"Skill nộ"))</f>
        <v>85</v>
      </c>
      <c r="F12" s="32" t="n">
        <f aca="false">IF(COUNTIFS(SKILL_THÀNH_PHẦN!$A$5:$A$84,$A12,SKILL_THÀNH_PHẦN!$C$5:$C$84,"Skill nộ")=0,"",SUMIFS(SKILL_THÀNH_PHẦN!$U$5:$U$84,SKILL_THÀNH_PHẦN!$A$5:$A$84,$A12,SKILL_THÀNH_PHẦN!$C$5:$C$84,"Skill nộ"))</f>
        <v>90</v>
      </c>
      <c r="G12" s="32" t="n">
        <f aca="false">IF(COUNTIFS(SKILL_THÀNH_PHẦN!$A$5:$A$84,$A12,SKILL_THÀNH_PHẦN!$C$5:$C$84,"Skill nộ")=0,"",SUMIFS(SKILL_THÀNH_PHẦN!$V$5:$V$84,SKILL_THÀNH_PHẦN!$A$5:$A$84,$A12,SKILL_THÀNH_PHẦN!$C$5:$C$84,"Skill nộ"))</f>
        <v>92.5</v>
      </c>
      <c r="H12" s="31" t="n">
        <f aca="false">IF(OR(E12="",D12=""),"",E12/D12)</f>
        <v>0.944444444444444</v>
      </c>
      <c r="I12" s="32" t="n">
        <f aca="false">IF(COUNTIFS(SKILL_THÀNH_PHẦN!$A$5:$A$84,$A12,SKILL_THÀNH_PHẦN!$C$5:$C$84,"Skill nộ")=0,"",COUNTIFS(SKILL_THÀNH_PHẦN!$A$5:$A$84,$A12,SKILL_THÀNH_PHẦN!$C$5:$C$84,"Skill nộ")-(COUNTIFS(SKILL_THÀNH_PHẦN!$A$5:$A$84,$A12,SKILL_THÀNH_PHẦN!$C$5:$C$84,"Skill nộ",SKILL_THÀNH_PHẦN!$F$5:$F$84,"Sát thương")+COUNTIFS(SKILL_THÀNH_PHẦN!$A$5:$A$84,$A12,SKILL_THÀNH_PHẦN!$C$5:$C$84,"Skill nộ",SKILL_THÀNH_PHẦN!$F$5:$F$84,"Hồi máu")+COUNTIFS(SKILL_THÀNH_PHẦN!$A$5:$A$84,$A12,SKILL_THÀNH_PHẦN!$C$5:$C$84,"Skill nộ",SKILL_THÀNH_PHẦN!$F$5:$F$84,"Khiên")))</f>
        <v>1</v>
      </c>
    </row>
    <row r="13" customFormat="false" ht="23.25" hidden="false" customHeight="true" outlineLevel="0" collapsed="false">
      <c r="A13" s="22" t="str">
        <f aca="false">NHÂN_VẬT!$A$14</f>
        <v>NV09</v>
      </c>
      <c r="B13" s="22" t="str">
        <f aca="false">IF(NHÂN_VẬT!$B$14="","",NHÂN_VẬT!$B$14)</f>
        <v>HCM-PHỤ KHO ANH LÂM</v>
      </c>
      <c r="C13" s="22" t="str">
        <f aca="false">IF(NHÂN_VẬT!$D$14="","",NHÂN_VẬT!$D$14)</f>
        <v>TANK-VẬT LÝ</v>
      </c>
      <c r="D13" s="32" t="n">
        <f aca="false">IFERROR(INDEX(KHUNG_VAI_TRÒ!$K$9:$K$15,MATCH(C13,KHUNG_VAI_TRÒ!$A$9:$A$15,0)),"")</f>
        <v>120</v>
      </c>
      <c r="E13" s="32" t="n">
        <f aca="false">IF(COUNTIFS(SKILL_THÀNH_PHẦN!$A$5:$A$84,$A13,SKILL_THÀNH_PHẦN!$C$5:$C$84,"Skill nộ")=0,"",SUMIFS(SKILL_THÀNH_PHẦN!$T$5:$T$84,SKILL_THÀNH_PHẦN!$A$5:$A$84,$A13,SKILL_THÀNH_PHẦN!$C$5:$C$84,"Skill nộ"))</f>
        <v>200</v>
      </c>
      <c r="F13" s="32" t="n">
        <f aca="false">IF(COUNTIFS(SKILL_THÀNH_PHẦN!$A$5:$A$84,$A13,SKILL_THÀNH_PHẦN!$C$5:$C$84,"Skill nộ")=0,"",SUMIFS(SKILL_THÀNH_PHẦN!$U$5:$U$84,SKILL_THÀNH_PHẦN!$A$5:$A$84,$A13,SKILL_THÀNH_PHẦN!$C$5:$C$84,"Skill nộ"))</f>
        <v>220</v>
      </c>
      <c r="G13" s="32" t="n">
        <f aca="false">IF(COUNTIFS(SKILL_THÀNH_PHẦN!$A$5:$A$84,$A13,SKILL_THÀNH_PHẦN!$C$5:$C$84,"Skill nộ")=0,"",SUMIFS(SKILL_THÀNH_PHẦN!$V$5:$V$84,SKILL_THÀNH_PHẦN!$A$5:$A$84,$A13,SKILL_THÀNH_PHẦN!$C$5:$C$84,"Skill nộ"))</f>
        <v>240</v>
      </c>
      <c r="H13" s="31" t="n">
        <f aca="false">IF(OR(E13="",D13=""),"",E13/D13)</f>
        <v>1.66666666666667</v>
      </c>
      <c r="I13" s="32" t="n">
        <f aca="false">IF(COUNTIFS(SKILL_THÀNH_PHẦN!$A$5:$A$84,$A13,SKILL_THÀNH_PHẦN!$C$5:$C$84,"Skill nộ")=0,"",COUNTIFS(SKILL_THÀNH_PHẦN!$A$5:$A$84,$A13,SKILL_THÀNH_PHẦN!$C$5:$C$84,"Skill nộ")-(COUNTIFS(SKILL_THÀNH_PHẦN!$A$5:$A$84,$A13,SKILL_THÀNH_PHẦN!$C$5:$C$84,"Skill nộ",SKILL_THÀNH_PHẦN!$F$5:$F$84,"Sát thương")+COUNTIFS(SKILL_THÀNH_PHẦN!$A$5:$A$84,$A13,SKILL_THÀNH_PHẦN!$C$5:$C$84,"Skill nộ",SKILL_THÀNH_PHẦN!$F$5:$F$84,"Hồi máu")+COUNTIFS(SKILL_THÀNH_PHẦN!$A$5:$A$84,$A13,SKILL_THÀNH_PHẦN!$C$5:$C$84,"Skill nộ",SKILL_THÀNH_PHẦN!$F$5:$F$84,"Khiên")))</f>
        <v>1</v>
      </c>
    </row>
    <row r="14" customFormat="false" ht="15" hidden="false" customHeight="true" outlineLevel="0" collapsed="false">
      <c r="A14" s="22" t="str">
        <f aca="false">IF(NHÂN_VẬT!$A$35="","",NHÂN_VẬT!$A$35)</f>
        <v/>
      </c>
      <c r="B14" s="22" t="str">
        <f aca="false">IF(NHÂN_VẬT!$B$35="","",NHÂN_VẬT!$B$35)</f>
        <v/>
      </c>
      <c r="C14" s="22" t="str">
        <f aca="false">IF(NHÂN_VẬT!$D$35="","",NHÂN_VẬT!$D$35)</f>
        <v/>
      </c>
      <c r="D14" s="32" t="str">
        <f aca="false">IFERROR(INDEX(KHUNG_VAI_TRÒ!$K$9:$K$15,MATCH(C14,KHUNG_VAI_TRÒ!$A$9:$A$15,0)),"")</f>
        <v/>
      </c>
      <c r="E14" s="32" t="str">
        <f aca="false">IF(COUNTIFS(SKILL_THÀNH_PHẦN!$A$5:$A$84,$A14,SKILL_THÀNH_PHẦN!$C$5:$C$84,"Skill nộ")=0,"",SUMIFS(SKILL_THÀNH_PHẦN!$T$5:$T$84,SKILL_THÀNH_PHẦN!$A$5:$A$84,$A14,SKILL_THÀNH_PHẦN!$C$5:$C$84,"Skill nộ"))</f>
        <v/>
      </c>
      <c r="F14" s="32" t="str">
        <f aca="false">IF(COUNTIFS(SKILL_THÀNH_PHẦN!$A$5:$A$84,$A14,SKILL_THÀNH_PHẦN!$C$5:$C$84,"Skill nộ")=0,"",SUMIFS(SKILL_THÀNH_PHẦN!$U$5:$U$84,SKILL_THÀNH_PHẦN!$A$5:$A$84,$A14,SKILL_THÀNH_PHẦN!$C$5:$C$84,"Skill nộ"))</f>
        <v/>
      </c>
      <c r="G14" s="32" t="str">
        <f aca="false">IF(COUNTIFS(SKILL_THÀNH_PHẦN!$A$5:$A$84,$A14,SKILL_THÀNH_PHẦN!$C$5:$C$84,"Skill nộ")=0,"",SUMIFS(SKILL_THÀNH_PHẦN!$V$5:$V$84,SKILL_THÀNH_PHẦN!$A$5:$A$84,$A14,SKILL_THÀNH_PHẦN!$C$5:$C$84,"Skill nộ"))</f>
        <v/>
      </c>
      <c r="H14" s="31" t="str">
        <f aca="false">IF(OR(E14="",D14=""),"",E14/D14)</f>
        <v/>
      </c>
      <c r="I14" s="32" t="str">
        <f aca="false">IF(COUNTIFS(SKILL_THÀNH_PHẦN!$A$5:$A$84,$A14,SKILL_THÀNH_PHẦN!$C$5:$C$84,"Skill nộ")=0,"",COUNTIFS(SKILL_THÀNH_PHẦN!$A$5:$A$84,$A14,SKILL_THÀNH_PHẦN!$C$5:$C$84,"Skill nộ")-(COUNTIFS(SKILL_THÀNH_PHẦN!$A$5:$A$84,$A14,SKILL_THÀNH_PHẦN!$C$5:$C$84,"Skill nộ",SKILL_THÀNH_PHẦN!$F$5:$F$84,"Sát thương")+COUNTIFS(SKILL_THÀNH_PHẦN!$A$5:$A$84,$A14,SKILL_THÀNH_PHẦN!$C$5:$C$84,"Skill nộ",SKILL_THÀNH_PHẦN!$F$5:$F$84,"Hồi máu")+COUNTIFS(SKILL_THÀNH_PHẦN!$A$5:$A$84,$A14,SKILL_THÀNH_PHẦN!$C$5:$C$84,"Skill nộ",SKILL_THÀNH_PHẦN!$F$5:$F$84,"Khiên")))</f>
        <v/>
      </c>
    </row>
    <row r="15" customFormat="false" ht="15" hidden="false" customHeight="true" outlineLevel="0" collapsed="false">
      <c r="A15" s="22" t="str">
        <f aca="false">NHÂN_VẬT!$A$15</f>
        <v>NV11</v>
      </c>
      <c r="B15" s="22" t="str">
        <f aca="false">IF(NHÂN_VẬT!$B$15="","",NHÂN_VẬT!$B$15)</f>
        <v>HCM- BÍCH THÍCH CHAN</v>
      </c>
      <c r="C15" s="22" t="str">
        <f aca="false">IF(NHÂN_VẬT!$D$15="","",NHÂN_VẬT!$D$15)</f>
        <v>Phép-BUFF</v>
      </c>
      <c r="D15" s="32" t="n">
        <f aca="false">IFERROR(INDEX(KHUNG_VAI_TRÒ!$K$9:$K$15,MATCH(C15,KHUNG_VAI_TRÒ!$A$9:$A$15,0)),"")</f>
        <v>110</v>
      </c>
      <c r="E15" s="32" t="n">
        <f aca="false">IF(COUNTIFS(SKILL_THÀNH_PHẦN!$A$5:$A$84,$A15,SKILL_THÀNH_PHẦN!$C$5:$C$84,"Skill nộ")=0,"",SUMIFS(SKILL_THÀNH_PHẦN!$T$5:$T$84,SKILL_THÀNH_PHẦN!$A$5:$A$84,$A15,SKILL_THÀNH_PHẦN!$C$5:$C$84,"Skill nộ"))</f>
        <v>100</v>
      </c>
      <c r="F15" s="32" t="n">
        <f aca="false">IF(COUNTIFS(SKILL_THÀNH_PHẦN!$A$5:$A$84,$A15,SKILL_THÀNH_PHẦN!$C$5:$C$84,"Skill nộ")=0,"",SUMIFS(SKILL_THÀNH_PHẦN!$U$5:$U$84,SKILL_THÀNH_PHẦN!$A$5:$A$84,$A15,SKILL_THÀNH_PHẦN!$C$5:$C$84,"Skill nộ"))</f>
        <v>120</v>
      </c>
      <c r="G15" s="32" t="n">
        <f aca="false">IF(COUNTIFS(SKILL_THÀNH_PHẦN!$A$5:$A$84,$A15,SKILL_THÀNH_PHẦN!$C$5:$C$84,"Skill nộ")=0,"",SUMIFS(SKILL_THÀNH_PHẦN!$V$5:$V$84,SKILL_THÀNH_PHẦN!$A$5:$A$84,$A15,SKILL_THÀNH_PHẦN!$C$5:$C$84,"Skill nộ"))</f>
        <v>150</v>
      </c>
      <c r="H15" s="31" t="n">
        <f aca="false">IF(OR(E15="",D15=""),"",E15/D15)</f>
        <v>0.909090909090909</v>
      </c>
      <c r="I15" s="32" t="n">
        <f aca="false">IF(COUNTIFS(SKILL_THÀNH_PHẦN!$A$5:$A$84,$A15,SKILL_THÀNH_PHẦN!$C$5:$C$84,"Skill nộ")=0,"",COUNTIFS(SKILL_THÀNH_PHẦN!$A$5:$A$84,$A15,SKILL_THÀNH_PHẦN!$C$5:$C$84,"Skill nộ")-(COUNTIFS(SKILL_THÀNH_PHẦN!$A$5:$A$84,$A15,SKILL_THÀNH_PHẦN!$C$5:$C$84,"Skill nộ",SKILL_THÀNH_PHẦN!$F$5:$F$84,"Sát thương")+COUNTIFS(SKILL_THÀNH_PHẦN!$A$5:$A$84,$A15,SKILL_THÀNH_PHẦN!$C$5:$C$84,"Skill nộ",SKILL_THÀNH_PHẦN!$F$5:$F$84,"Hồi máu")+COUNTIFS(SKILL_THÀNH_PHẦN!$A$5:$A$84,$A15,SKILL_THÀNH_PHẦN!$C$5:$C$84,"Skill nộ",SKILL_THÀNH_PHẦN!$F$5:$F$84,"Khiên")))</f>
        <v>1</v>
      </c>
    </row>
    <row r="16" customFormat="false" ht="15" hidden="false" customHeight="true" outlineLevel="0" collapsed="false">
      <c r="A16" s="22" t="str">
        <f aca="false">NHÂN_VẬT!$A$16</f>
        <v>NV12</v>
      </c>
      <c r="B16" s="22" t="str">
        <f aca="false">IF(NHÂN_VẬT!$B$16="","",NHÂN_VẬT!$B$16)</f>
        <v/>
      </c>
      <c r="C16" s="22" t="str">
        <f aca="false">IF(NHÂN_VẬT!$D$16="","",NHÂN_VẬT!$D$16)</f>
        <v/>
      </c>
      <c r="D16" s="32" t="str">
        <f aca="false">IFERROR(INDEX(KHUNG_VAI_TRÒ!$K$9:$K$15,MATCH(C16,KHUNG_VAI_TRÒ!$A$9:$A$15,0)),"")</f>
        <v/>
      </c>
      <c r="E16" s="32" t="str">
        <f aca="false">IF(COUNTIFS(SKILL_THÀNH_PHẦN!$A$5:$A$84,$A16,SKILL_THÀNH_PHẦN!$C$5:$C$84,"Skill nộ")=0,"",SUMIFS(SKILL_THÀNH_PHẦN!$T$5:$T$84,SKILL_THÀNH_PHẦN!$A$5:$A$84,$A16,SKILL_THÀNH_PHẦN!$C$5:$C$84,"Skill nộ"))</f>
        <v/>
      </c>
      <c r="F16" s="32" t="str">
        <f aca="false">IF(COUNTIFS(SKILL_THÀNH_PHẦN!$A$5:$A$84,$A16,SKILL_THÀNH_PHẦN!$C$5:$C$84,"Skill nộ")=0,"",SUMIFS(SKILL_THÀNH_PHẦN!$U$5:$U$84,SKILL_THÀNH_PHẦN!$A$5:$A$84,$A16,SKILL_THÀNH_PHẦN!$C$5:$C$84,"Skill nộ"))</f>
        <v/>
      </c>
      <c r="G16" s="32" t="str">
        <f aca="false">IF(COUNTIFS(SKILL_THÀNH_PHẦN!$A$5:$A$84,$A16,SKILL_THÀNH_PHẦN!$C$5:$C$84,"Skill nộ")=0,"",SUMIFS(SKILL_THÀNH_PHẦN!$V$5:$V$84,SKILL_THÀNH_PHẦN!$A$5:$A$84,$A16,SKILL_THÀNH_PHẦN!$C$5:$C$84,"Skill nộ"))</f>
        <v/>
      </c>
      <c r="H16" s="31" t="str">
        <f aca="false">IF(OR(E16="",D16=""),"",E16/D16)</f>
        <v/>
      </c>
      <c r="I16" s="32" t="str">
        <f aca="false">IF(COUNTIFS(SKILL_THÀNH_PHẦN!$A$5:$A$84,$A16,SKILL_THÀNH_PHẦN!$C$5:$C$84,"Skill nộ")=0,"",COUNTIFS(SKILL_THÀNH_PHẦN!$A$5:$A$84,$A16,SKILL_THÀNH_PHẦN!$C$5:$C$84,"Skill nộ")-(COUNTIFS(SKILL_THÀNH_PHẦN!$A$5:$A$84,$A16,SKILL_THÀNH_PHẦN!$C$5:$C$84,"Skill nộ",SKILL_THÀNH_PHẦN!$F$5:$F$84,"Sát thương")+COUNTIFS(SKILL_THÀNH_PHẦN!$A$5:$A$84,$A16,SKILL_THÀNH_PHẦN!$C$5:$C$84,"Skill nộ",SKILL_THÀNH_PHẦN!$F$5:$F$84,"Hồi máu")+COUNTIFS(SKILL_THÀNH_PHẦN!$A$5:$A$84,$A16,SKILL_THÀNH_PHẦN!$C$5:$C$84,"Skill nộ",SKILL_THÀNH_PHẦN!$F$5:$F$84,"Khiên")))</f>
        <v/>
      </c>
    </row>
    <row r="17" customFormat="false" ht="15" hidden="false" customHeight="true" outlineLevel="0" collapsed="false">
      <c r="A17" s="22" t="str">
        <f aca="false">NHÂN_VẬT!$A$17</f>
        <v>NV13</v>
      </c>
      <c r="B17" s="22" t="str">
        <f aca="false">IF(NHÂN_VẬT!$B$17="","",NHÂN_VẬT!$B$17)</f>
        <v/>
      </c>
      <c r="C17" s="22" t="str">
        <f aca="false">IF(NHÂN_VẬT!$D$17="","",NHÂN_VẬT!$D$17)</f>
        <v/>
      </c>
      <c r="D17" s="32" t="str">
        <f aca="false">IFERROR(INDEX(KHUNG_VAI_TRÒ!$K$9:$K$15,MATCH(C17,KHUNG_VAI_TRÒ!$A$9:$A$15,0)),"")</f>
        <v/>
      </c>
      <c r="E17" s="32" t="str">
        <f aca="false">IF(COUNTIFS(SKILL_THÀNH_PHẦN!$A$5:$A$84,$A17,SKILL_THÀNH_PHẦN!$C$5:$C$84,"Skill nộ")=0,"",SUMIFS(SKILL_THÀNH_PHẦN!$T$5:$T$84,SKILL_THÀNH_PHẦN!$A$5:$A$84,$A17,SKILL_THÀNH_PHẦN!$C$5:$C$84,"Skill nộ"))</f>
        <v/>
      </c>
      <c r="F17" s="32" t="str">
        <f aca="false">IF(COUNTIFS(SKILL_THÀNH_PHẦN!$A$5:$A$84,$A17,SKILL_THÀNH_PHẦN!$C$5:$C$84,"Skill nộ")=0,"",SUMIFS(SKILL_THÀNH_PHẦN!$U$5:$U$84,SKILL_THÀNH_PHẦN!$A$5:$A$84,$A17,SKILL_THÀNH_PHẦN!$C$5:$C$84,"Skill nộ"))</f>
        <v/>
      </c>
      <c r="G17" s="32" t="str">
        <f aca="false">IF(COUNTIFS(SKILL_THÀNH_PHẦN!$A$5:$A$84,$A17,SKILL_THÀNH_PHẦN!$C$5:$C$84,"Skill nộ")=0,"",SUMIFS(SKILL_THÀNH_PHẦN!$V$5:$V$84,SKILL_THÀNH_PHẦN!$A$5:$A$84,$A17,SKILL_THÀNH_PHẦN!$C$5:$C$84,"Skill nộ"))</f>
        <v/>
      </c>
      <c r="H17" s="31" t="str">
        <f aca="false">IF(OR(E17="",D17=""),"",E17/D17)</f>
        <v/>
      </c>
      <c r="I17" s="32" t="str">
        <f aca="false">IF(COUNTIFS(SKILL_THÀNH_PHẦN!$A$5:$A$84,$A17,SKILL_THÀNH_PHẦN!$C$5:$C$84,"Skill nộ")=0,"",COUNTIFS(SKILL_THÀNH_PHẦN!$A$5:$A$84,$A17,SKILL_THÀNH_PHẦN!$C$5:$C$84,"Skill nộ")-(COUNTIFS(SKILL_THÀNH_PHẦN!$A$5:$A$84,$A17,SKILL_THÀNH_PHẦN!$C$5:$C$84,"Skill nộ",SKILL_THÀNH_PHẦN!$F$5:$F$84,"Sát thương")+COUNTIFS(SKILL_THÀNH_PHẦN!$A$5:$A$84,$A17,SKILL_THÀNH_PHẦN!$C$5:$C$84,"Skill nộ",SKILL_THÀNH_PHẦN!$F$5:$F$84,"Hồi máu")+COUNTIFS(SKILL_THÀNH_PHẦN!$A$5:$A$84,$A17,SKILL_THÀNH_PHẦN!$C$5:$C$84,"Skill nộ",SKILL_THÀNH_PHẦN!$F$5:$F$84,"Khiên")))</f>
        <v/>
      </c>
    </row>
    <row r="18" customFormat="false" ht="15" hidden="false" customHeight="true" outlineLevel="0" collapsed="false">
      <c r="A18" s="22" t="str">
        <f aca="false">NHÂN_VẬT!$A$18</f>
        <v>NV14</v>
      </c>
      <c r="B18" s="22" t="str">
        <f aca="false">IF(NHÂN_VẬT!$B$18="","",NHÂN_VẬT!$B$18)</f>
        <v/>
      </c>
      <c r="C18" s="22" t="str">
        <f aca="false">IF(NHÂN_VẬT!$D$18="","",NHÂN_VẬT!$D$18)</f>
        <v/>
      </c>
      <c r="D18" s="32" t="str">
        <f aca="false">IFERROR(INDEX(KHUNG_VAI_TRÒ!$K$9:$K$15,MATCH(C18,KHUNG_VAI_TRÒ!$A$9:$A$15,0)),"")</f>
        <v/>
      </c>
      <c r="E18" s="32" t="str">
        <f aca="false">IF(COUNTIFS(SKILL_THÀNH_PHẦN!$A$5:$A$84,$A18,SKILL_THÀNH_PHẦN!$C$5:$C$84,"Skill nộ")=0,"",SUMIFS(SKILL_THÀNH_PHẦN!$T$5:$T$84,SKILL_THÀNH_PHẦN!$A$5:$A$84,$A18,SKILL_THÀNH_PHẦN!$C$5:$C$84,"Skill nộ"))</f>
        <v/>
      </c>
      <c r="F18" s="32" t="str">
        <f aca="false">IF(COUNTIFS(SKILL_THÀNH_PHẦN!$A$5:$A$84,$A18,SKILL_THÀNH_PHẦN!$C$5:$C$84,"Skill nộ")=0,"",SUMIFS(SKILL_THÀNH_PHẦN!$U$5:$U$84,SKILL_THÀNH_PHẦN!$A$5:$A$84,$A18,SKILL_THÀNH_PHẦN!$C$5:$C$84,"Skill nộ"))</f>
        <v/>
      </c>
      <c r="G18" s="32" t="str">
        <f aca="false">IF(COUNTIFS(SKILL_THÀNH_PHẦN!$A$5:$A$84,$A18,SKILL_THÀNH_PHẦN!$C$5:$C$84,"Skill nộ")=0,"",SUMIFS(SKILL_THÀNH_PHẦN!$V$5:$V$84,SKILL_THÀNH_PHẦN!$A$5:$A$84,$A18,SKILL_THÀNH_PHẦN!$C$5:$C$84,"Skill nộ"))</f>
        <v/>
      </c>
      <c r="H18" s="31" t="str">
        <f aca="false">IF(OR(E18="",D18=""),"",E18/D18)</f>
        <v/>
      </c>
      <c r="I18" s="32" t="str">
        <f aca="false">IF(COUNTIFS(SKILL_THÀNH_PHẦN!$A$5:$A$84,$A18,SKILL_THÀNH_PHẦN!$C$5:$C$84,"Skill nộ")=0,"",COUNTIFS(SKILL_THÀNH_PHẦN!$A$5:$A$84,$A18,SKILL_THÀNH_PHẦN!$C$5:$C$84,"Skill nộ")-(COUNTIFS(SKILL_THÀNH_PHẦN!$A$5:$A$84,$A18,SKILL_THÀNH_PHẦN!$C$5:$C$84,"Skill nộ",SKILL_THÀNH_PHẦN!$F$5:$F$84,"Sát thương")+COUNTIFS(SKILL_THÀNH_PHẦN!$A$5:$A$84,$A18,SKILL_THÀNH_PHẦN!$C$5:$C$84,"Skill nộ",SKILL_THÀNH_PHẦN!$F$5:$F$84,"Hồi máu")+COUNTIFS(SKILL_THÀNH_PHẦN!$A$5:$A$84,$A18,SKILL_THÀNH_PHẦN!$C$5:$C$84,"Skill nộ",SKILL_THÀNH_PHẦN!$F$5:$F$84,"Khiên")))</f>
        <v/>
      </c>
    </row>
    <row r="19" customFormat="false" ht="15" hidden="false" customHeight="true" outlineLevel="0" collapsed="false">
      <c r="A19" s="22" t="str">
        <f aca="false">NHÂN_VẬT!$A$19</f>
        <v>NV15</v>
      </c>
      <c r="B19" s="22" t="str">
        <f aca="false">IF(NHÂN_VẬT!$B$19="","",NHÂN_VẬT!$B$19)</f>
        <v/>
      </c>
      <c r="C19" s="22" t="str">
        <f aca="false">IF(NHÂN_VẬT!$D$19="","",NHÂN_VẬT!$D$19)</f>
        <v/>
      </c>
      <c r="D19" s="32" t="str">
        <f aca="false">IFERROR(INDEX(KHUNG_VAI_TRÒ!$K$9:$K$15,MATCH(C19,KHUNG_VAI_TRÒ!$A$9:$A$15,0)),"")</f>
        <v/>
      </c>
      <c r="E19" s="32" t="str">
        <f aca="false">IF(COUNTIFS(SKILL_THÀNH_PHẦN!$A$5:$A$84,$A19,SKILL_THÀNH_PHẦN!$C$5:$C$84,"Skill nộ")=0,"",SUMIFS(SKILL_THÀNH_PHẦN!$T$5:$T$84,SKILL_THÀNH_PHẦN!$A$5:$A$84,$A19,SKILL_THÀNH_PHẦN!$C$5:$C$84,"Skill nộ"))</f>
        <v/>
      </c>
      <c r="F19" s="32" t="str">
        <f aca="false">IF(COUNTIFS(SKILL_THÀNH_PHẦN!$A$5:$A$84,$A19,SKILL_THÀNH_PHẦN!$C$5:$C$84,"Skill nộ")=0,"",SUMIFS(SKILL_THÀNH_PHẦN!$U$5:$U$84,SKILL_THÀNH_PHẦN!$A$5:$A$84,$A19,SKILL_THÀNH_PHẦN!$C$5:$C$84,"Skill nộ"))</f>
        <v/>
      </c>
      <c r="G19" s="32" t="str">
        <f aca="false">IF(COUNTIFS(SKILL_THÀNH_PHẦN!$A$5:$A$84,$A19,SKILL_THÀNH_PHẦN!$C$5:$C$84,"Skill nộ")=0,"",SUMIFS(SKILL_THÀNH_PHẦN!$V$5:$V$84,SKILL_THÀNH_PHẦN!$A$5:$A$84,$A19,SKILL_THÀNH_PHẦN!$C$5:$C$84,"Skill nộ"))</f>
        <v/>
      </c>
      <c r="H19" s="31" t="str">
        <f aca="false">IF(OR(E19="",D19=""),"",E19/D19)</f>
        <v/>
      </c>
      <c r="I19" s="32" t="str">
        <f aca="false">IF(COUNTIFS(SKILL_THÀNH_PHẦN!$A$5:$A$84,$A19,SKILL_THÀNH_PHẦN!$C$5:$C$84,"Skill nộ")=0,"",COUNTIFS(SKILL_THÀNH_PHẦN!$A$5:$A$84,$A19,SKILL_THÀNH_PHẦN!$C$5:$C$84,"Skill nộ")-(COUNTIFS(SKILL_THÀNH_PHẦN!$A$5:$A$84,$A19,SKILL_THÀNH_PHẦN!$C$5:$C$84,"Skill nộ",SKILL_THÀNH_PHẦN!$F$5:$F$84,"Sát thương")+COUNTIFS(SKILL_THÀNH_PHẦN!$A$5:$A$84,$A19,SKILL_THÀNH_PHẦN!$C$5:$C$84,"Skill nộ",SKILL_THÀNH_PHẦN!$F$5:$F$84,"Hồi máu")+COUNTIFS(SKILL_THÀNH_PHẦN!$A$5:$A$84,$A19,SKILL_THÀNH_PHẦN!$C$5:$C$84,"Skill nộ",SKILL_THÀNH_PHẦN!$F$5:$F$84,"Khiên")))</f>
        <v/>
      </c>
    </row>
    <row r="20" customFormat="false" ht="15" hidden="false" customHeight="true" outlineLevel="0" collapsed="false">
      <c r="A20" s="22" t="str">
        <f aca="false">NHÂN_VẬT!$A$20</f>
        <v>NV16</v>
      </c>
      <c r="B20" s="22" t="str">
        <f aca="false">IF(NHÂN_VẬT!$B$20="","",NHÂN_VẬT!$B$20)</f>
        <v/>
      </c>
      <c r="C20" s="22" t="str">
        <f aca="false">IF(NHÂN_VẬT!$D$20="","",NHÂN_VẬT!$D$20)</f>
        <v/>
      </c>
      <c r="D20" s="32" t="str">
        <f aca="false">IFERROR(INDEX(KHUNG_VAI_TRÒ!$K$9:$K$15,MATCH(C20,KHUNG_VAI_TRÒ!$A$9:$A$15,0)),"")</f>
        <v/>
      </c>
      <c r="E20" s="32" t="str">
        <f aca="false">IF(COUNTIFS(SKILL_THÀNH_PHẦN!$A$5:$A$84,$A20,SKILL_THÀNH_PHẦN!$C$5:$C$84,"Skill nộ")=0,"",SUMIFS(SKILL_THÀNH_PHẦN!$T$5:$T$84,SKILL_THÀNH_PHẦN!$A$5:$A$84,$A20,SKILL_THÀNH_PHẦN!$C$5:$C$84,"Skill nộ"))</f>
        <v/>
      </c>
      <c r="F20" s="32" t="str">
        <f aca="false">IF(COUNTIFS(SKILL_THÀNH_PHẦN!$A$5:$A$84,$A20,SKILL_THÀNH_PHẦN!$C$5:$C$84,"Skill nộ")=0,"",SUMIFS(SKILL_THÀNH_PHẦN!$U$5:$U$84,SKILL_THÀNH_PHẦN!$A$5:$A$84,$A20,SKILL_THÀNH_PHẦN!$C$5:$C$84,"Skill nộ"))</f>
        <v/>
      </c>
      <c r="G20" s="32" t="str">
        <f aca="false">IF(COUNTIFS(SKILL_THÀNH_PHẦN!$A$5:$A$84,$A20,SKILL_THÀNH_PHẦN!$C$5:$C$84,"Skill nộ")=0,"",SUMIFS(SKILL_THÀNH_PHẦN!$V$5:$V$84,SKILL_THÀNH_PHẦN!$A$5:$A$84,$A20,SKILL_THÀNH_PHẦN!$C$5:$C$84,"Skill nộ"))</f>
        <v/>
      </c>
      <c r="H20" s="31" t="str">
        <f aca="false">IF(OR(E20="",D20=""),"",E20/D20)</f>
        <v/>
      </c>
      <c r="I20" s="32" t="str">
        <f aca="false">IF(COUNTIFS(SKILL_THÀNH_PHẦN!$A$5:$A$84,$A20,SKILL_THÀNH_PHẦN!$C$5:$C$84,"Skill nộ")=0,"",COUNTIFS(SKILL_THÀNH_PHẦN!$A$5:$A$84,$A20,SKILL_THÀNH_PHẦN!$C$5:$C$84,"Skill nộ")-(COUNTIFS(SKILL_THÀNH_PHẦN!$A$5:$A$84,$A20,SKILL_THÀNH_PHẦN!$C$5:$C$84,"Skill nộ",SKILL_THÀNH_PHẦN!$F$5:$F$84,"Sát thương")+COUNTIFS(SKILL_THÀNH_PHẦN!$A$5:$A$84,$A20,SKILL_THÀNH_PHẦN!$C$5:$C$84,"Skill nộ",SKILL_THÀNH_PHẦN!$F$5:$F$84,"Hồi máu")+COUNTIFS(SKILL_THÀNH_PHẦN!$A$5:$A$84,$A20,SKILL_THÀNH_PHẦN!$C$5:$C$84,"Skill nộ",SKILL_THÀNH_PHẦN!$F$5:$F$84,"Khiên")))</f>
        <v/>
      </c>
    </row>
    <row r="21" customFormat="false" ht="15" hidden="false" customHeight="true" outlineLevel="0" collapsed="false">
      <c r="A21" s="22" t="str">
        <f aca="false">NHÂN_VẬT!$A$21</f>
        <v>NV17</v>
      </c>
      <c r="B21" s="22" t="str">
        <f aca="false">IF(NHÂN_VẬT!$B$21="","",NHÂN_VẬT!$B$21)</f>
        <v/>
      </c>
      <c r="C21" s="22" t="str">
        <f aca="false">IF(NHÂN_VẬT!$D$21="","",NHÂN_VẬT!$D$21)</f>
        <v/>
      </c>
      <c r="D21" s="32" t="str">
        <f aca="false">IFERROR(INDEX(KHUNG_VAI_TRÒ!$K$9:$K$15,MATCH(C21,KHUNG_VAI_TRÒ!$A$9:$A$15,0)),"")</f>
        <v/>
      </c>
      <c r="E21" s="32" t="str">
        <f aca="false">IF(COUNTIFS(SKILL_THÀNH_PHẦN!$A$5:$A$84,$A21,SKILL_THÀNH_PHẦN!$C$5:$C$84,"Skill nộ")=0,"",SUMIFS(SKILL_THÀNH_PHẦN!$T$5:$T$84,SKILL_THÀNH_PHẦN!$A$5:$A$84,$A21,SKILL_THÀNH_PHẦN!$C$5:$C$84,"Skill nộ"))</f>
        <v/>
      </c>
      <c r="F21" s="32" t="str">
        <f aca="false">IF(COUNTIFS(SKILL_THÀNH_PHẦN!$A$5:$A$84,$A21,SKILL_THÀNH_PHẦN!$C$5:$C$84,"Skill nộ")=0,"",SUMIFS(SKILL_THÀNH_PHẦN!$U$5:$U$84,SKILL_THÀNH_PHẦN!$A$5:$A$84,$A21,SKILL_THÀNH_PHẦN!$C$5:$C$84,"Skill nộ"))</f>
        <v/>
      </c>
      <c r="G21" s="32" t="str">
        <f aca="false">IF(COUNTIFS(SKILL_THÀNH_PHẦN!$A$5:$A$84,$A21,SKILL_THÀNH_PHẦN!$C$5:$C$84,"Skill nộ")=0,"",SUMIFS(SKILL_THÀNH_PHẦN!$V$5:$V$84,SKILL_THÀNH_PHẦN!$A$5:$A$84,$A21,SKILL_THÀNH_PHẦN!$C$5:$C$84,"Skill nộ"))</f>
        <v/>
      </c>
      <c r="H21" s="31" t="str">
        <f aca="false">IF(OR(E21="",D21=""),"",E21/D21)</f>
        <v/>
      </c>
      <c r="I21" s="32" t="str">
        <f aca="false">IF(COUNTIFS(SKILL_THÀNH_PHẦN!$A$5:$A$84,$A21,SKILL_THÀNH_PHẦN!$C$5:$C$84,"Skill nộ")=0,"",COUNTIFS(SKILL_THÀNH_PHẦN!$A$5:$A$84,$A21,SKILL_THÀNH_PHẦN!$C$5:$C$84,"Skill nộ")-(COUNTIFS(SKILL_THÀNH_PHẦN!$A$5:$A$84,$A21,SKILL_THÀNH_PHẦN!$C$5:$C$84,"Skill nộ",SKILL_THÀNH_PHẦN!$F$5:$F$84,"Sát thương")+COUNTIFS(SKILL_THÀNH_PHẦN!$A$5:$A$84,$A21,SKILL_THÀNH_PHẦN!$C$5:$C$84,"Skill nộ",SKILL_THÀNH_PHẦN!$F$5:$F$84,"Hồi máu")+COUNTIFS(SKILL_THÀNH_PHẦN!$A$5:$A$84,$A21,SKILL_THÀNH_PHẦN!$C$5:$C$84,"Skill nộ",SKILL_THÀNH_PHẦN!$F$5:$F$84,"Khiên")))</f>
        <v/>
      </c>
    </row>
    <row r="22" customFormat="false" ht="15" hidden="false" customHeight="true" outlineLevel="0" collapsed="false">
      <c r="A22" s="22" t="str">
        <f aca="false">NHÂN_VẬT!$A$22</f>
        <v>NV18</v>
      </c>
      <c r="B22" s="22" t="str">
        <f aca="false">IF(NHÂN_VẬT!$B$22="","",NHÂN_VẬT!$B$22)</f>
        <v/>
      </c>
      <c r="C22" s="22" t="str">
        <f aca="false">IF(NHÂN_VẬT!$D$22="","",NHÂN_VẬT!$D$22)</f>
        <v/>
      </c>
      <c r="D22" s="32" t="str">
        <f aca="false">IFERROR(INDEX(KHUNG_VAI_TRÒ!$K$9:$K$15,MATCH(C22,KHUNG_VAI_TRÒ!$A$9:$A$15,0)),"")</f>
        <v/>
      </c>
      <c r="E22" s="32" t="str">
        <f aca="false">IF(COUNTIFS(SKILL_THÀNH_PHẦN!$A$5:$A$84,$A22,SKILL_THÀNH_PHẦN!$C$5:$C$84,"Skill nộ")=0,"",SUMIFS(SKILL_THÀNH_PHẦN!$T$5:$T$84,SKILL_THÀNH_PHẦN!$A$5:$A$84,$A22,SKILL_THÀNH_PHẦN!$C$5:$C$84,"Skill nộ"))</f>
        <v/>
      </c>
      <c r="F22" s="32" t="str">
        <f aca="false">IF(COUNTIFS(SKILL_THÀNH_PHẦN!$A$5:$A$84,$A22,SKILL_THÀNH_PHẦN!$C$5:$C$84,"Skill nộ")=0,"",SUMIFS(SKILL_THÀNH_PHẦN!$U$5:$U$84,SKILL_THÀNH_PHẦN!$A$5:$A$84,$A22,SKILL_THÀNH_PHẦN!$C$5:$C$84,"Skill nộ"))</f>
        <v/>
      </c>
      <c r="G22" s="32" t="str">
        <f aca="false">IF(COUNTIFS(SKILL_THÀNH_PHẦN!$A$5:$A$84,$A22,SKILL_THÀNH_PHẦN!$C$5:$C$84,"Skill nộ")=0,"",SUMIFS(SKILL_THÀNH_PHẦN!$V$5:$V$84,SKILL_THÀNH_PHẦN!$A$5:$A$84,$A22,SKILL_THÀNH_PHẦN!$C$5:$C$84,"Skill nộ"))</f>
        <v/>
      </c>
      <c r="H22" s="31" t="str">
        <f aca="false">IF(OR(E22="",D22=""),"",E22/D22)</f>
        <v/>
      </c>
      <c r="I22" s="32" t="str">
        <f aca="false">IF(COUNTIFS(SKILL_THÀNH_PHẦN!$A$5:$A$84,$A22,SKILL_THÀNH_PHẦN!$C$5:$C$84,"Skill nộ")=0,"",COUNTIFS(SKILL_THÀNH_PHẦN!$A$5:$A$84,$A22,SKILL_THÀNH_PHẦN!$C$5:$C$84,"Skill nộ")-(COUNTIFS(SKILL_THÀNH_PHẦN!$A$5:$A$84,$A22,SKILL_THÀNH_PHẦN!$C$5:$C$84,"Skill nộ",SKILL_THÀNH_PHẦN!$F$5:$F$84,"Sát thương")+COUNTIFS(SKILL_THÀNH_PHẦN!$A$5:$A$84,$A22,SKILL_THÀNH_PHẦN!$C$5:$C$84,"Skill nộ",SKILL_THÀNH_PHẦN!$F$5:$F$84,"Hồi máu")+COUNTIFS(SKILL_THÀNH_PHẦN!$A$5:$A$84,$A22,SKILL_THÀNH_PHẦN!$C$5:$C$84,"Skill nộ",SKILL_THÀNH_PHẦN!$F$5:$F$84,"Khiên")))</f>
        <v/>
      </c>
    </row>
    <row r="23" customFormat="false" ht="15" hidden="false" customHeight="true" outlineLevel="0" collapsed="false">
      <c r="A23" s="22" t="str">
        <f aca="false">NHÂN_VẬT!$A$23</f>
        <v>NV19</v>
      </c>
      <c r="B23" s="22" t="str">
        <f aca="false">IF(NHÂN_VẬT!$B$23="","",NHÂN_VẬT!$B$23)</f>
        <v/>
      </c>
      <c r="C23" s="22" t="str">
        <f aca="false">IF(NHÂN_VẬT!$D$23="","",NHÂN_VẬT!$D$23)</f>
        <v/>
      </c>
      <c r="D23" s="32" t="str">
        <f aca="false">IFERROR(INDEX(KHUNG_VAI_TRÒ!$K$9:$K$15,MATCH(C23,KHUNG_VAI_TRÒ!$A$9:$A$15,0)),"")</f>
        <v/>
      </c>
      <c r="E23" s="32" t="str">
        <f aca="false">IF(COUNTIFS(SKILL_THÀNH_PHẦN!$A$5:$A$84,$A23,SKILL_THÀNH_PHẦN!$C$5:$C$84,"Skill nộ")=0,"",SUMIFS(SKILL_THÀNH_PHẦN!$T$5:$T$84,SKILL_THÀNH_PHẦN!$A$5:$A$84,$A23,SKILL_THÀNH_PHẦN!$C$5:$C$84,"Skill nộ"))</f>
        <v/>
      </c>
      <c r="F23" s="32" t="str">
        <f aca="false">IF(COUNTIFS(SKILL_THÀNH_PHẦN!$A$5:$A$84,$A23,SKILL_THÀNH_PHẦN!$C$5:$C$84,"Skill nộ")=0,"",SUMIFS(SKILL_THÀNH_PHẦN!$U$5:$U$84,SKILL_THÀNH_PHẦN!$A$5:$A$84,$A23,SKILL_THÀNH_PHẦN!$C$5:$C$84,"Skill nộ"))</f>
        <v/>
      </c>
      <c r="G23" s="32" t="str">
        <f aca="false">IF(COUNTIFS(SKILL_THÀNH_PHẦN!$A$5:$A$84,$A23,SKILL_THÀNH_PHẦN!$C$5:$C$84,"Skill nộ")=0,"",SUMIFS(SKILL_THÀNH_PHẦN!$V$5:$V$84,SKILL_THÀNH_PHẦN!$A$5:$A$84,$A23,SKILL_THÀNH_PHẦN!$C$5:$C$84,"Skill nộ"))</f>
        <v/>
      </c>
      <c r="H23" s="31" t="str">
        <f aca="false">IF(OR(E23="",D23=""),"",E23/D23)</f>
        <v/>
      </c>
      <c r="I23" s="32" t="str">
        <f aca="false">IF(COUNTIFS(SKILL_THÀNH_PHẦN!$A$5:$A$84,$A23,SKILL_THÀNH_PHẦN!$C$5:$C$84,"Skill nộ")=0,"",COUNTIFS(SKILL_THÀNH_PHẦN!$A$5:$A$84,$A23,SKILL_THÀNH_PHẦN!$C$5:$C$84,"Skill nộ")-(COUNTIFS(SKILL_THÀNH_PHẦN!$A$5:$A$84,$A23,SKILL_THÀNH_PHẦN!$C$5:$C$84,"Skill nộ",SKILL_THÀNH_PHẦN!$F$5:$F$84,"Sát thương")+COUNTIFS(SKILL_THÀNH_PHẦN!$A$5:$A$84,$A23,SKILL_THÀNH_PHẦN!$C$5:$C$84,"Skill nộ",SKILL_THÀNH_PHẦN!$F$5:$F$84,"Hồi máu")+COUNTIFS(SKILL_THÀNH_PHẦN!$A$5:$A$84,$A23,SKILL_THÀNH_PHẦN!$C$5:$C$84,"Skill nộ",SKILL_THÀNH_PHẦN!$F$5:$F$84,"Khiên")))</f>
        <v/>
      </c>
    </row>
    <row r="24" customFormat="false" ht="15" hidden="false" customHeight="true" outlineLevel="0" collapsed="false">
      <c r="A24" s="22" t="str">
        <f aca="false">NHÂN_VẬT!$A$24</f>
        <v>NV20</v>
      </c>
      <c r="B24" s="22" t="str">
        <f aca="false">IF(NHÂN_VẬT!$B$24="","",NHÂN_VẬT!$B$24)</f>
        <v/>
      </c>
      <c r="C24" s="22" t="str">
        <f aca="false">IF(NHÂN_VẬT!$D$24="","",NHÂN_VẬT!$D$24)</f>
        <v/>
      </c>
      <c r="D24" s="32" t="str">
        <f aca="false">IFERROR(INDEX(KHUNG_VAI_TRÒ!$K$9:$K$15,MATCH(C24,KHUNG_VAI_TRÒ!$A$9:$A$15,0)),"")</f>
        <v/>
      </c>
      <c r="E24" s="32" t="str">
        <f aca="false">IF(COUNTIFS(SKILL_THÀNH_PHẦN!$A$5:$A$84,$A24,SKILL_THÀNH_PHẦN!$C$5:$C$84,"Skill nộ")=0,"",SUMIFS(SKILL_THÀNH_PHẦN!$T$5:$T$84,SKILL_THÀNH_PHẦN!$A$5:$A$84,$A24,SKILL_THÀNH_PHẦN!$C$5:$C$84,"Skill nộ"))</f>
        <v/>
      </c>
      <c r="F24" s="32" t="str">
        <f aca="false">IF(COUNTIFS(SKILL_THÀNH_PHẦN!$A$5:$A$84,$A24,SKILL_THÀNH_PHẦN!$C$5:$C$84,"Skill nộ")=0,"",SUMIFS(SKILL_THÀNH_PHẦN!$U$5:$U$84,SKILL_THÀNH_PHẦN!$A$5:$A$84,$A24,SKILL_THÀNH_PHẦN!$C$5:$C$84,"Skill nộ"))</f>
        <v/>
      </c>
      <c r="G24" s="32" t="str">
        <f aca="false">IF(COUNTIFS(SKILL_THÀNH_PHẦN!$A$5:$A$84,$A24,SKILL_THÀNH_PHẦN!$C$5:$C$84,"Skill nộ")=0,"",SUMIFS(SKILL_THÀNH_PHẦN!$V$5:$V$84,SKILL_THÀNH_PHẦN!$A$5:$A$84,$A24,SKILL_THÀNH_PHẦN!$C$5:$C$84,"Skill nộ"))</f>
        <v/>
      </c>
      <c r="H24" s="31" t="str">
        <f aca="false">IF(OR(E24="",D24=""),"",E24/D24)</f>
        <v/>
      </c>
      <c r="I24" s="32" t="str">
        <f aca="false">IF(COUNTIFS(SKILL_THÀNH_PHẦN!$A$5:$A$84,$A24,SKILL_THÀNH_PHẦN!$C$5:$C$84,"Skill nộ")=0,"",COUNTIFS(SKILL_THÀNH_PHẦN!$A$5:$A$84,$A24,SKILL_THÀNH_PHẦN!$C$5:$C$84,"Skill nộ")-(COUNTIFS(SKILL_THÀNH_PHẦN!$A$5:$A$84,$A24,SKILL_THÀNH_PHẦN!$C$5:$C$84,"Skill nộ",SKILL_THÀNH_PHẦN!$F$5:$F$84,"Sát thương")+COUNTIFS(SKILL_THÀNH_PHẦN!$A$5:$A$84,$A24,SKILL_THÀNH_PHẦN!$C$5:$C$84,"Skill nộ",SKILL_THÀNH_PHẦN!$F$5:$F$84,"Hồi máu")+COUNTIFS(SKILL_THÀNH_PHẦN!$A$5:$A$84,$A24,SKILL_THÀNH_PHẦN!$C$5:$C$84,"Skill nộ",SKILL_THÀNH_PHẦN!$F$5:$F$84,"Khiên")))</f>
        <v/>
      </c>
    </row>
    <row r="25" customFormat="false" ht="15" hidden="false" customHeight="true" outlineLevel="0" collapsed="false">
      <c r="A25" s="22" t="str">
        <f aca="false">NHÂN_VẬT!$A$25</f>
        <v>NV21</v>
      </c>
      <c r="B25" s="22" t="str">
        <f aca="false">IF(NHÂN_VẬT!$B$25="","",NHÂN_VẬT!$B$25)</f>
        <v/>
      </c>
      <c r="C25" s="22" t="str">
        <f aca="false">IF(NHÂN_VẬT!$D$25="","",NHÂN_VẬT!$D$25)</f>
        <v/>
      </c>
      <c r="D25" s="32" t="str">
        <f aca="false">IFERROR(INDEX(KHUNG_VAI_TRÒ!$K$9:$K$15,MATCH(C25,KHUNG_VAI_TRÒ!$A$9:$A$15,0)),"")</f>
        <v/>
      </c>
      <c r="E25" s="32" t="str">
        <f aca="false">IF(COUNTIFS(SKILL_THÀNH_PHẦN!$A$5:$A$84,$A25,SKILL_THÀNH_PHẦN!$C$5:$C$84,"Skill nộ")=0,"",SUMIFS(SKILL_THÀNH_PHẦN!$T$5:$T$84,SKILL_THÀNH_PHẦN!$A$5:$A$84,$A25,SKILL_THÀNH_PHẦN!$C$5:$C$84,"Skill nộ"))</f>
        <v/>
      </c>
      <c r="F25" s="32" t="str">
        <f aca="false">IF(COUNTIFS(SKILL_THÀNH_PHẦN!$A$5:$A$84,$A25,SKILL_THÀNH_PHẦN!$C$5:$C$84,"Skill nộ")=0,"",SUMIFS(SKILL_THÀNH_PHẦN!$U$5:$U$84,SKILL_THÀNH_PHẦN!$A$5:$A$84,$A25,SKILL_THÀNH_PHẦN!$C$5:$C$84,"Skill nộ"))</f>
        <v/>
      </c>
      <c r="G25" s="32" t="str">
        <f aca="false">IF(COUNTIFS(SKILL_THÀNH_PHẦN!$A$5:$A$84,$A25,SKILL_THÀNH_PHẦN!$C$5:$C$84,"Skill nộ")=0,"",SUMIFS(SKILL_THÀNH_PHẦN!$V$5:$V$84,SKILL_THÀNH_PHẦN!$A$5:$A$84,$A25,SKILL_THÀNH_PHẦN!$C$5:$C$84,"Skill nộ"))</f>
        <v/>
      </c>
      <c r="H25" s="31" t="str">
        <f aca="false">IF(OR(E25="",D25=""),"",E25/D25)</f>
        <v/>
      </c>
      <c r="I25" s="32" t="str">
        <f aca="false">IF(COUNTIFS(SKILL_THÀNH_PHẦN!$A$5:$A$84,$A25,SKILL_THÀNH_PHẦN!$C$5:$C$84,"Skill nộ")=0,"",COUNTIFS(SKILL_THÀNH_PHẦN!$A$5:$A$84,$A25,SKILL_THÀNH_PHẦN!$C$5:$C$84,"Skill nộ")-(COUNTIFS(SKILL_THÀNH_PHẦN!$A$5:$A$84,$A25,SKILL_THÀNH_PHẦN!$C$5:$C$84,"Skill nộ",SKILL_THÀNH_PHẦN!$F$5:$F$84,"Sát thương")+COUNTIFS(SKILL_THÀNH_PHẦN!$A$5:$A$84,$A25,SKILL_THÀNH_PHẦN!$C$5:$C$84,"Skill nộ",SKILL_THÀNH_PHẦN!$F$5:$F$84,"Hồi máu")+COUNTIFS(SKILL_THÀNH_PHẦN!$A$5:$A$84,$A25,SKILL_THÀNH_PHẦN!$C$5:$C$84,"Skill nộ",SKILL_THÀNH_PHẦN!$F$5:$F$84,"Khiên")))</f>
        <v/>
      </c>
    </row>
    <row r="26" customFormat="false" ht="15" hidden="false" customHeight="true" outlineLevel="0" collapsed="false">
      <c r="A26" s="22" t="str">
        <f aca="false">NHÂN_VẬT!$A$26</f>
        <v>NV22</v>
      </c>
      <c r="B26" s="22" t="str">
        <f aca="false">IF(NHÂN_VẬT!$B$26="","",NHÂN_VẬT!$B$26)</f>
        <v/>
      </c>
      <c r="C26" s="22" t="str">
        <f aca="false">IF(NHÂN_VẬT!$D$26="","",NHÂN_VẬT!$D$26)</f>
        <v/>
      </c>
      <c r="D26" s="32" t="str">
        <f aca="false">IFERROR(INDEX(KHUNG_VAI_TRÒ!$K$9:$K$15,MATCH(C26,KHUNG_VAI_TRÒ!$A$9:$A$15,0)),"")</f>
        <v/>
      </c>
      <c r="E26" s="32" t="str">
        <f aca="false">IF(COUNTIFS(SKILL_THÀNH_PHẦN!$A$5:$A$84,$A26,SKILL_THÀNH_PHẦN!$C$5:$C$84,"Skill nộ")=0,"",SUMIFS(SKILL_THÀNH_PHẦN!$T$5:$T$84,SKILL_THÀNH_PHẦN!$A$5:$A$84,$A26,SKILL_THÀNH_PHẦN!$C$5:$C$84,"Skill nộ"))</f>
        <v/>
      </c>
      <c r="F26" s="32" t="str">
        <f aca="false">IF(COUNTIFS(SKILL_THÀNH_PHẦN!$A$5:$A$84,$A26,SKILL_THÀNH_PHẦN!$C$5:$C$84,"Skill nộ")=0,"",SUMIFS(SKILL_THÀNH_PHẦN!$U$5:$U$84,SKILL_THÀNH_PHẦN!$A$5:$A$84,$A26,SKILL_THÀNH_PHẦN!$C$5:$C$84,"Skill nộ"))</f>
        <v/>
      </c>
      <c r="G26" s="32" t="str">
        <f aca="false">IF(COUNTIFS(SKILL_THÀNH_PHẦN!$A$5:$A$84,$A26,SKILL_THÀNH_PHẦN!$C$5:$C$84,"Skill nộ")=0,"",SUMIFS(SKILL_THÀNH_PHẦN!$V$5:$V$84,SKILL_THÀNH_PHẦN!$A$5:$A$84,$A26,SKILL_THÀNH_PHẦN!$C$5:$C$84,"Skill nộ"))</f>
        <v/>
      </c>
      <c r="H26" s="31" t="str">
        <f aca="false">IF(OR(E26="",D26=""),"",E26/D26)</f>
        <v/>
      </c>
      <c r="I26" s="32" t="str">
        <f aca="false">IF(COUNTIFS(SKILL_THÀNH_PHẦN!$A$5:$A$84,$A26,SKILL_THÀNH_PHẦN!$C$5:$C$84,"Skill nộ")=0,"",COUNTIFS(SKILL_THÀNH_PHẦN!$A$5:$A$84,$A26,SKILL_THÀNH_PHẦN!$C$5:$C$84,"Skill nộ")-(COUNTIFS(SKILL_THÀNH_PHẦN!$A$5:$A$84,$A26,SKILL_THÀNH_PHẦN!$C$5:$C$84,"Skill nộ",SKILL_THÀNH_PHẦN!$F$5:$F$84,"Sát thương")+COUNTIFS(SKILL_THÀNH_PHẦN!$A$5:$A$84,$A26,SKILL_THÀNH_PHẦN!$C$5:$C$84,"Skill nộ",SKILL_THÀNH_PHẦN!$F$5:$F$84,"Hồi máu")+COUNTIFS(SKILL_THÀNH_PHẦN!$A$5:$A$84,$A26,SKILL_THÀNH_PHẦN!$C$5:$C$84,"Skill nộ",SKILL_THÀNH_PHẦN!$F$5:$F$84,"Khiên")))</f>
        <v/>
      </c>
    </row>
    <row r="27" customFormat="false" ht="15" hidden="false" customHeight="true" outlineLevel="0" collapsed="false">
      <c r="A27" s="22" t="str">
        <f aca="false">NHÂN_VẬT!$A$27</f>
        <v>NV23</v>
      </c>
      <c r="B27" s="22" t="str">
        <f aca="false">IF(NHÂN_VẬT!$B$27="","",NHÂN_VẬT!$B$27)</f>
        <v/>
      </c>
      <c r="C27" s="22" t="str">
        <f aca="false">IF(NHÂN_VẬT!$D$27="","",NHÂN_VẬT!$D$27)</f>
        <v/>
      </c>
      <c r="D27" s="32" t="str">
        <f aca="false">IFERROR(INDEX(KHUNG_VAI_TRÒ!$K$9:$K$15,MATCH(C27,KHUNG_VAI_TRÒ!$A$9:$A$15,0)),"")</f>
        <v/>
      </c>
      <c r="E27" s="32" t="str">
        <f aca="false">IF(COUNTIFS(SKILL_THÀNH_PHẦN!$A$5:$A$84,$A27,SKILL_THÀNH_PHẦN!$C$5:$C$84,"Skill nộ")=0,"",SUMIFS(SKILL_THÀNH_PHẦN!$T$5:$T$84,SKILL_THÀNH_PHẦN!$A$5:$A$84,$A27,SKILL_THÀNH_PHẦN!$C$5:$C$84,"Skill nộ"))</f>
        <v/>
      </c>
      <c r="F27" s="32" t="str">
        <f aca="false">IF(COUNTIFS(SKILL_THÀNH_PHẦN!$A$5:$A$84,$A27,SKILL_THÀNH_PHẦN!$C$5:$C$84,"Skill nộ")=0,"",SUMIFS(SKILL_THÀNH_PHẦN!$U$5:$U$84,SKILL_THÀNH_PHẦN!$A$5:$A$84,$A27,SKILL_THÀNH_PHẦN!$C$5:$C$84,"Skill nộ"))</f>
        <v/>
      </c>
      <c r="G27" s="32" t="str">
        <f aca="false">IF(COUNTIFS(SKILL_THÀNH_PHẦN!$A$5:$A$84,$A27,SKILL_THÀNH_PHẦN!$C$5:$C$84,"Skill nộ")=0,"",SUMIFS(SKILL_THÀNH_PHẦN!$V$5:$V$84,SKILL_THÀNH_PHẦN!$A$5:$A$84,$A27,SKILL_THÀNH_PHẦN!$C$5:$C$84,"Skill nộ"))</f>
        <v/>
      </c>
      <c r="H27" s="31" t="str">
        <f aca="false">IF(OR(E27="",D27=""),"",E27/D27)</f>
        <v/>
      </c>
      <c r="I27" s="32" t="str">
        <f aca="false">IF(COUNTIFS(SKILL_THÀNH_PHẦN!$A$5:$A$84,$A27,SKILL_THÀNH_PHẦN!$C$5:$C$84,"Skill nộ")=0,"",COUNTIFS(SKILL_THÀNH_PHẦN!$A$5:$A$84,$A27,SKILL_THÀNH_PHẦN!$C$5:$C$84,"Skill nộ")-(COUNTIFS(SKILL_THÀNH_PHẦN!$A$5:$A$84,$A27,SKILL_THÀNH_PHẦN!$C$5:$C$84,"Skill nộ",SKILL_THÀNH_PHẦN!$F$5:$F$84,"Sát thương")+COUNTIFS(SKILL_THÀNH_PHẦN!$A$5:$A$84,$A27,SKILL_THÀNH_PHẦN!$C$5:$C$84,"Skill nộ",SKILL_THÀNH_PHẦN!$F$5:$F$84,"Hồi máu")+COUNTIFS(SKILL_THÀNH_PHẦN!$A$5:$A$84,$A27,SKILL_THÀNH_PHẦN!$C$5:$C$84,"Skill nộ",SKILL_THÀNH_PHẦN!$F$5:$F$84,"Khiên")))</f>
        <v/>
      </c>
    </row>
    <row r="28" customFormat="false" ht="15" hidden="false" customHeight="true" outlineLevel="0" collapsed="false">
      <c r="A28" s="22" t="str">
        <f aca="false">NHÂN_VẬT!$A$28</f>
        <v>NV24</v>
      </c>
      <c r="B28" s="22" t="str">
        <f aca="false">IF(NHÂN_VẬT!$B$28="","",NHÂN_VẬT!$B$28)</f>
        <v/>
      </c>
      <c r="C28" s="22" t="str">
        <f aca="false">IF(NHÂN_VẬT!$D$28="","",NHÂN_VẬT!$D$28)</f>
        <v/>
      </c>
      <c r="D28" s="32" t="str">
        <f aca="false">IFERROR(INDEX(KHUNG_VAI_TRÒ!$K$9:$K$15,MATCH(C28,KHUNG_VAI_TRÒ!$A$9:$A$15,0)),"")</f>
        <v/>
      </c>
      <c r="E28" s="32" t="str">
        <f aca="false">IF(COUNTIFS(SKILL_THÀNH_PHẦN!$A$5:$A$84,$A28,SKILL_THÀNH_PHẦN!$C$5:$C$84,"Skill nộ")=0,"",SUMIFS(SKILL_THÀNH_PHẦN!$T$5:$T$84,SKILL_THÀNH_PHẦN!$A$5:$A$84,$A28,SKILL_THÀNH_PHẦN!$C$5:$C$84,"Skill nộ"))</f>
        <v/>
      </c>
      <c r="F28" s="32" t="str">
        <f aca="false">IF(COUNTIFS(SKILL_THÀNH_PHẦN!$A$5:$A$84,$A28,SKILL_THÀNH_PHẦN!$C$5:$C$84,"Skill nộ")=0,"",SUMIFS(SKILL_THÀNH_PHẦN!$U$5:$U$84,SKILL_THÀNH_PHẦN!$A$5:$A$84,$A28,SKILL_THÀNH_PHẦN!$C$5:$C$84,"Skill nộ"))</f>
        <v/>
      </c>
      <c r="G28" s="32" t="str">
        <f aca="false">IF(COUNTIFS(SKILL_THÀNH_PHẦN!$A$5:$A$84,$A28,SKILL_THÀNH_PHẦN!$C$5:$C$84,"Skill nộ")=0,"",SUMIFS(SKILL_THÀNH_PHẦN!$V$5:$V$84,SKILL_THÀNH_PHẦN!$A$5:$A$84,$A28,SKILL_THÀNH_PHẦN!$C$5:$C$84,"Skill nộ"))</f>
        <v/>
      </c>
      <c r="H28" s="31" t="str">
        <f aca="false">IF(OR(E28="",D28=""),"",E28/D28)</f>
        <v/>
      </c>
      <c r="I28" s="32" t="str">
        <f aca="false">IF(COUNTIFS(SKILL_THÀNH_PHẦN!$A$5:$A$84,$A28,SKILL_THÀNH_PHẦN!$C$5:$C$84,"Skill nộ")=0,"",COUNTIFS(SKILL_THÀNH_PHẦN!$A$5:$A$84,$A28,SKILL_THÀNH_PHẦN!$C$5:$C$84,"Skill nộ")-(COUNTIFS(SKILL_THÀNH_PHẦN!$A$5:$A$84,$A28,SKILL_THÀNH_PHẦN!$C$5:$C$84,"Skill nộ",SKILL_THÀNH_PHẦN!$F$5:$F$84,"Sát thương")+COUNTIFS(SKILL_THÀNH_PHẦN!$A$5:$A$84,$A28,SKILL_THÀNH_PHẦN!$C$5:$C$84,"Skill nộ",SKILL_THÀNH_PHẦN!$F$5:$F$84,"Hồi máu")+COUNTIFS(SKILL_THÀNH_PHẦN!$A$5:$A$84,$A28,SKILL_THÀNH_PHẦN!$C$5:$C$84,"Skill nộ",SKILL_THÀNH_PHẦN!$F$5:$F$84,"Khiên")))</f>
        <v/>
      </c>
    </row>
    <row r="29" customFormat="false" ht="15" hidden="false" customHeight="true" outlineLevel="0" collapsed="false">
      <c r="A29" s="22" t="str">
        <f aca="false">NHÂN_VẬT!$A$29</f>
        <v>NV25</v>
      </c>
      <c r="B29" s="22" t="str">
        <f aca="false">IF(NHÂN_VẬT!$B$29="","",NHÂN_VẬT!$B$29)</f>
        <v/>
      </c>
      <c r="C29" s="22" t="str">
        <f aca="false">IF(NHÂN_VẬT!$D$29="","",NHÂN_VẬT!$D$29)</f>
        <v/>
      </c>
      <c r="D29" s="32" t="str">
        <f aca="false">IFERROR(INDEX(KHUNG_VAI_TRÒ!$K$9:$K$15,MATCH(C29,KHUNG_VAI_TRÒ!$A$9:$A$15,0)),"")</f>
        <v/>
      </c>
      <c r="E29" s="32" t="str">
        <f aca="false">IF(COUNTIFS(SKILL_THÀNH_PHẦN!$A$5:$A$84,$A29,SKILL_THÀNH_PHẦN!$C$5:$C$84,"Skill nộ")=0,"",SUMIFS(SKILL_THÀNH_PHẦN!$T$5:$T$84,SKILL_THÀNH_PHẦN!$A$5:$A$84,$A29,SKILL_THÀNH_PHẦN!$C$5:$C$84,"Skill nộ"))</f>
        <v/>
      </c>
      <c r="F29" s="32" t="str">
        <f aca="false">IF(COUNTIFS(SKILL_THÀNH_PHẦN!$A$5:$A$84,$A29,SKILL_THÀNH_PHẦN!$C$5:$C$84,"Skill nộ")=0,"",SUMIFS(SKILL_THÀNH_PHẦN!$U$5:$U$84,SKILL_THÀNH_PHẦN!$A$5:$A$84,$A29,SKILL_THÀNH_PHẦN!$C$5:$C$84,"Skill nộ"))</f>
        <v/>
      </c>
      <c r="G29" s="32" t="str">
        <f aca="false">IF(COUNTIFS(SKILL_THÀNH_PHẦN!$A$5:$A$84,$A29,SKILL_THÀNH_PHẦN!$C$5:$C$84,"Skill nộ")=0,"",SUMIFS(SKILL_THÀNH_PHẦN!$V$5:$V$84,SKILL_THÀNH_PHẦN!$A$5:$A$84,$A29,SKILL_THÀNH_PHẦN!$C$5:$C$84,"Skill nộ"))</f>
        <v/>
      </c>
      <c r="H29" s="31" t="str">
        <f aca="false">IF(OR(E29="",D29=""),"",E29/D29)</f>
        <v/>
      </c>
      <c r="I29" s="32" t="str">
        <f aca="false">IF(COUNTIFS(SKILL_THÀNH_PHẦN!$A$5:$A$84,$A29,SKILL_THÀNH_PHẦN!$C$5:$C$84,"Skill nộ")=0,"",COUNTIFS(SKILL_THÀNH_PHẦN!$A$5:$A$84,$A29,SKILL_THÀNH_PHẦN!$C$5:$C$84,"Skill nộ")-(COUNTIFS(SKILL_THÀNH_PHẦN!$A$5:$A$84,$A29,SKILL_THÀNH_PHẦN!$C$5:$C$84,"Skill nộ",SKILL_THÀNH_PHẦN!$F$5:$F$84,"Sát thương")+COUNTIFS(SKILL_THÀNH_PHẦN!$A$5:$A$84,$A29,SKILL_THÀNH_PHẦN!$C$5:$C$84,"Skill nộ",SKILL_THÀNH_PHẦN!$F$5:$F$84,"Hồi máu")+COUNTIFS(SKILL_THÀNH_PHẦN!$A$5:$A$84,$A29,SKILL_THÀNH_PHẦN!$C$5:$C$84,"Skill nộ",SKILL_THÀNH_PHẦN!$F$5:$F$84,"Khiên")))</f>
        <v/>
      </c>
    </row>
    <row r="30" customFormat="false" ht="15" hidden="false" customHeight="true" outlineLevel="0" collapsed="false">
      <c r="A30" s="22" t="str">
        <f aca="false">NHÂN_VẬT!$A$30</f>
        <v>NV26</v>
      </c>
      <c r="B30" s="22" t="str">
        <f aca="false">IF(NHÂN_VẬT!$B$30="","",NHÂN_VẬT!$B$30)</f>
        <v/>
      </c>
      <c r="C30" s="22" t="str">
        <f aca="false">IF(NHÂN_VẬT!$D$30="","",NHÂN_VẬT!$D$30)</f>
        <v/>
      </c>
      <c r="D30" s="32" t="str">
        <f aca="false">IFERROR(INDEX(KHUNG_VAI_TRÒ!$K$9:$K$15,MATCH(C30,KHUNG_VAI_TRÒ!$A$9:$A$15,0)),"")</f>
        <v/>
      </c>
      <c r="E30" s="32" t="str">
        <f aca="false">IF(COUNTIFS(SKILL_THÀNH_PHẦN!$A$5:$A$84,$A30,SKILL_THÀNH_PHẦN!$C$5:$C$84,"Skill nộ")=0,"",SUMIFS(SKILL_THÀNH_PHẦN!$T$5:$T$84,SKILL_THÀNH_PHẦN!$A$5:$A$84,$A30,SKILL_THÀNH_PHẦN!$C$5:$C$84,"Skill nộ"))</f>
        <v/>
      </c>
      <c r="F30" s="32" t="str">
        <f aca="false">IF(COUNTIFS(SKILL_THÀNH_PHẦN!$A$5:$A$84,$A30,SKILL_THÀNH_PHẦN!$C$5:$C$84,"Skill nộ")=0,"",SUMIFS(SKILL_THÀNH_PHẦN!$U$5:$U$84,SKILL_THÀNH_PHẦN!$A$5:$A$84,$A30,SKILL_THÀNH_PHẦN!$C$5:$C$84,"Skill nộ"))</f>
        <v/>
      </c>
      <c r="G30" s="32" t="str">
        <f aca="false">IF(COUNTIFS(SKILL_THÀNH_PHẦN!$A$5:$A$84,$A30,SKILL_THÀNH_PHẦN!$C$5:$C$84,"Skill nộ")=0,"",SUMIFS(SKILL_THÀNH_PHẦN!$V$5:$V$84,SKILL_THÀNH_PHẦN!$A$5:$A$84,$A30,SKILL_THÀNH_PHẦN!$C$5:$C$84,"Skill nộ"))</f>
        <v/>
      </c>
      <c r="H30" s="31" t="str">
        <f aca="false">IF(OR(E30="",D30=""),"",E30/D30)</f>
        <v/>
      </c>
      <c r="I30" s="32" t="str">
        <f aca="false">IF(COUNTIFS(SKILL_THÀNH_PHẦN!$A$5:$A$84,$A30,SKILL_THÀNH_PHẦN!$C$5:$C$84,"Skill nộ")=0,"",COUNTIFS(SKILL_THÀNH_PHẦN!$A$5:$A$84,$A30,SKILL_THÀNH_PHẦN!$C$5:$C$84,"Skill nộ")-(COUNTIFS(SKILL_THÀNH_PHẦN!$A$5:$A$84,$A30,SKILL_THÀNH_PHẦN!$C$5:$C$84,"Skill nộ",SKILL_THÀNH_PHẦN!$F$5:$F$84,"Sát thương")+COUNTIFS(SKILL_THÀNH_PHẦN!$A$5:$A$84,$A30,SKILL_THÀNH_PHẦN!$C$5:$C$84,"Skill nộ",SKILL_THÀNH_PHẦN!$F$5:$F$84,"Hồi máu")+COUNTIFS(SKILL_THÀNH_PHẦN!$A$5:$A$84,$A30,SKILL_THÀNH_PHẦN!$C$5:$C$84,"Skill nộ",SKILL_THÀNH_PHẦN!$F$5:$F$84,"Khiên")))</f>
        <v/>
      </c>
    </row>
    <row r="31" customFormat="false" ht="15" hidden="false" customHeight="true" outlineLevel="0" collapsed="false">
      <c r="A31" s="22" t="str">
        <f aca="false">NHÂN_VẬT!$A$31</f>
        <v>NV27</v>
      </c>
      <c r="B31" s="22" t="str">
        <f aca="false">IF(NHÂN_VẬT!$B$31="","",NHÂN_VẬT!$B$31)</f>
        <v/>
      </c>
      <c r="C31" s="22" t="str">
        <f aca="false">IF(NHÂN_VẬT!$D$31="","",NHÂN_VẬT!$D$31)</f>
        <v/>
      </c>
      <c r="D31" s="32" t="str">
        <f aca="false">IFERROR(INDEX(KHUNG_VAI_TRÒ!$K$9:$K$15,MATCH(C31,KHUNG_VAI_TRÒ!$A$9:$A$15,0)),"")</f>
        <v/>
      </c>
      <c r="E31" s="32" t="str">
        <f aca="false">IF(COUNTIFS(SKILL_THÀNH_PHẦN!$A$5:$A$84,$A31,SKILL_THÀNH_PHẦN!$C$5:$C$84,"Skill nộ")=0,"",SUMIFS(SKILL_THÀNH_PHẦN!$T$5:$T$84,SKILL_THÀNH_PHẦN!$A$5:$A$84,$A31,SKILL_THÀNH_PHẦN!$C$5:$C$84,"Skill nộ"))</f>
        <v/>
      </c>
      <c r="F31" s="32" t="str">
        <f aca="false">IF(COUNTIFS(SKILL_THÀNH_PHẦN!$A$5:$A$84,$A31,SKILL_THÀNH_PHẦN!$C$5:$C$84,"Skill nộ")=0,"",SUMIFS(SKILL_THÀNH_PHẦN!$U$5:$U$84,SKILL_THÀNH_PHẦN!$A$5:$A$84,$A31,SKILL_THÀNH_PHẦN!$C$5:$C$84,"Skill nộ"))</f>
        <v/>
      </c>
      <c r="G31" s="32" t="str">
        <f aca="false">IF(COUNTIFS(SKILL_THÀNH_PHẦN!$A$5:$A$84,$A31,SKILL_THÀNH_PHẦN!$C$5:$C$84,"Skill nộ")=0,"",SUMIFS(SKILL_THÀNH_PHẦN!$V$5:$V$84,SKILL_THÀNH_PHẦN!$A$5:$A$84,$A31,SKILL_THÀNH_PHẦN!$C$5:$C$84,"Skill nộ"))</f>
        <v/>
      </c>
      <c r="H31" s="31" t="str">
        <f aca="false">IF(OR(E31="",D31=""),"",E31/D31)</f>
        <v/>
      </c>
      <c r="I31" s="32" t="str">
        <f aca="false">IF(COUNTIFS(SKILL_THÀNH_PHẦN!$A$5:$A$84,$A31,SKILL_THÀNH_PHẦN!$C$5:$C$84,"Skill nộ")=0,"",COUNTIFS(SKILL_THÀNH_PHẦN!$A$5:$A$84,$A31,SKILL_THÀNH_PHẦN!$C$5:$C$84,"Skill nộ")-(COUNTIFS(SKILL_THÀNH_PHẦN!$A$5:$A$84,$A31,SKILL_THÀNH_PHẦN!$C$5:$C$84,"Skill nộ",SKILL_THÀNH_PHẦN!$F$5:$F$84,"Sát thương")+COUNTIFS(SKILL_THÀNH_PHẦN!$A$5:$A$84,$A31,SKILL_THÀNH_PHẦN!$C$5:$C$84,"Skill nộ",SKILL_THÀNH_PHẦN!$F$5:$F$84,"Hồi máu")+COUNTIFS(SKILL_THÀNH_PHẦN!$A$5:$A$84,$A31,SKILL_THÀNH_PHẦN!$C$5:$C$84,"Skill nộ",SKILL_THÀNH_PHẦN!$F$5:$F$84,"Khiên")))</f>
        <v/>
      </c>
    </row>
    <row r="32" customFormat="false" ht="15" hidden="false" customHeight="true" outlineLevel="0" collapsed="false">
      <c r="A32" s="22" t="str">
        <f aca="false">NHÂN_VẬT!$A$32</f>
        <v>NV28</v>
      </c>
      <c r="B32" s="22" t="str">
        <f aca="false">IF(NHÂN_VẬT!$B$32="","",NHÂN_VẬT!$B$32)</f>
        <v/>
      </c>
      <c r="C32" s="22" t="str">
        <f aca="false">IF(NHÂN_VẬT!$D$32="","",NHÂN_VẬT!$D$32)</f>
        <v/>
      </c>
      <c r="D32" s="32" t="str">
        <f aca="false">IFERROR(INDEX(KHUNG_VAI_TRÒ!$K$9:$K$15,MATCH(C32,KHUNG_VAI_TRÒ!$A$9:$A$15,0)),"")</f>
        <v/>
      </c>
      <c r="E32" s="32" t="str">
        <f aca="false">IF(COUNTIFS(SKILL_THÀNH_PHẦN!$A$5:$A$84,$A32,SKILL_THÀNH_PHẦN!$C$5:$C$84,"Skill nộ")=0,"",SUMIFS(SKILL_THÀNH_PHẦN!$T$5:$T$84,SKILL_THÀNH_PHẦN!$A$5:$A$84,$A32,SKILL_THÀNH_PHẦN!$C$5:$C$84,"Skill nộ"))</f>
        <v/>
      </c>
      <c r="F32" s="32" t="str">
        <f aca="false">IF(COUNTIFS(SKILL_THÀNH_PHẦN!$A$5:$A$84,$A32,SKILL_THÀNH_PHẦN!$C$5:$C$84,"Skill nộ")=0,"",SUMIFS(SKILL_THÀNH_PHẦN!$U$5:$U$84,SKILL_THÀNH_PHẦN!$A$5:$A$84,$A32,SKILL_THÀNH_PHẦN!$C$5:$C$84,"Skill nộ"))</f>
        <v/>
      </c>
      <c r="G32" s="32" t="str">
        <f aca="false">IF(COUNTIFS(SKILL_THÀNH_PHẦN!$A$5:$A$84,$A32,SKILL_THÀNH_PHẦN!$C$5:$C$84,"Skill nộ")=0,"",SUMIFS(SKILL_THÀNH_PHẦN!$V$5:$V$84,SKILL_THÀNH_PHẦN!$A$5:$A$84,$A32,SKILL_THÀNH_PHẦN!$C$5:$C$84,"Skill nộ"))</f>
        <v/>
      </c>
      <c r="H32" s="31" t="str">
        <f aca="false">IF(OR(E32="",D32=""),"",E32/D32)</f>
        <v/>
      </c>
      <c r="I32" s="32" t="str">
        <f aca="false">IF(COUNTIFS(SKILL_THÀNH_PHẦN!$A$5:$A$84,$A32,SKILL_THÀNH_PHẦN!$C$5:$C$84,"Skill nộ")=0,"",COUNTIFS(SKILL_THÀNH_PHẦN!$A$5:$A$84,$A32,SKILL_THÀNH_PHẦN!$C$5:$C$84,"Skill nộ")-(COUNTIFS(SKILL_THÀNH_PHẦN!$A$5:$A$84,$A32,SKILL_THÀNH_PHẦN!$C$5:$C$84,"Skill nộ",SKILL_THÀNH_PHẦN!$F$5:$F$84,"Sát thương")+COUNTIFS(SKILL_THÀNH_PHẦN!$A$5:$A$84,$A32,SKILL_THÀNH_PHẦN!$C$5:$C$84,"Skill nộ",SKILL_THÀNH_PHẦN!$F$5:$F$84,"Hồi máu")+COUNTIFS(SKILL_THÀNH_PHẦN!$A$5:$A$84,$A32,SKILL_THÀNH_PHẦN!$C$5:$C$84,"Skill nộ",SKILL_THÀNH_PHẦN!$F$5:$F$84,"Khiên")))</f>
        <v/>
      </c>
    </row>
    <row r="33" customFormat="false" ht="15" hidden="false" customHeight="true" outlineLevel="0" collapsed="false">
      <c r="A33" s="22" t="str">
        <f aca="false">NHÂN_VẬT!$A$33</f>
        <v>NV29</v>
      </c>
      <c r="B33" s="22" t="str">
        <f aca="false">IF(NHÂN_VẬT!$B$33="","",NHÂN_VẬT!$B$33)</f>
        <v/>
      </c>
      <c r="C33" s="22" t="str">
        <f aca="false">IF(NHÂN_VẬT!$D$33="","",NHÂN_VẬT!$D$33)</f>
        <v/>
      </c>
      <c r="D33" s="32" t="str">
        <f aca="false">IFERROR(INDEX(KHUNG_VAI_TRÒ!$K$9:$K$15,MATCH(C33,KHUNG_VAI_TRÒ!$A$9:$A$15,0)),"")</f>
        <v/>
      </c>
      <c r="E33" s="32" t="str">
        <f aca="false">IF(COUNTIFS(SKILL_THÀNH_PHẦN!$A$5:$A$84,$A33,SKILL_THÀNH_PHẦN!$C$5:$C$84,"Skill nộ")=0,"",SUMIFS(SKILL_THÀNH_PHẦN!$T$5:$T$84,SKILL_THÀNH_PHẦN!$A$5:$A$84,$A33,SKILL_THÀNH_PHẦN!$C$5:$C$84,"Skill nộ"))</f>
        <v/>
      </c>
      <c r="F33" s="32" t="str">
        <f aca="false">IF(COUNTIFS(SKILL_THÀNH_PHẦN!$A$5:$A$84,$A33,SKILL_THÀNH_PHẦN!$C$5:$C$84,"Skill nộ")=0,"",SUMIFS(SKILL_THÀNH_PHẦN!$U$5:$U$84,SKILL_THÀNH_PHẦN!$A$5:$A$84,$A33,SKILL_THÀNH_PHẦN!$C$5:$C$84,"Skill nộ"))</f>
        <v/>
      </c>
      <c r="G33" s="32" t="str">
        <f aca="false">IF(COUNTIFS(SKILL_THÀNH_PHẦN!$A$5:$A$84,$A33,SKILL_THÀNH_PHẦN!$C$5:$C$84,"Skill nộ")=0,"",SUMIFS(SKILL_THÀNH_PHẦN!$V$5:$V$84,SKILL_THÀNH_PHẦN!$A$5:$A$84,$A33,SKILL_THÀNH_PHẦN!$C$5:$C$84,"Skill nộ"))</f>
        <v/>
      </c>
      <c r="H33" s="31" t="str">
        <f aca="false">IF(OR(E33="",D33=""),"",E33/D33)</f>
        <v/>
      </c>
      <c r="I33" s="32" t="str">
        <f aca="false">IF(COUNTIFS(SKILL_THÀNH_PHẦN!$A$5:$A$84,$A33,SKILL_THÀNH_PHẦN!$C$5:$C$84,"Skill nộ")=0,"",COUNTIFS(SKILL_THÀNH_PHẦN!$A$5:$A$84,$A33,SKILL_THÀNH_PHẦN!$C$5:$C$84,"Skill nộ")-(COUNTIFS(SKILL_THÀNH_PHẦN!$A$5:$A$84,$A33,SKILL_THÀNH_PHẦN!$C$5:$C$84,"Skill nộ",SKILL_THÀNH_PHẦN!$F$5:$F$84,"Sát thương")+COUNTIFS(SKILL_THÀNH_PHẦN!$A$5:$A$84,$A33,SKILL_THÀNH_PHẦN!$C$5:$C$84,"Skill nộ",SKILL_THÀNH_PHẦN!$F$5:$F$84,"Hồi máu")+COUNTIFS(SKILL_THÀNH_PHẦN!$A$5:$A$84,$A33,SKILL_THÀNH_PHẦN!$C$5:$C$84,"Skill nộ",SKILL_THÀNH_PHẦN!$F$5:$F$84,"Khiên")))</f>
        <v/>
      </c>
    </row>
    <row r="34" customFormat="false" ht="15" hidden="false" customHeight="true" outlineLevel="0" collapsed="false">
      <c r="A34" s="22" t="str">
        <f aca="false">NHÂN_VẬT!$A$34</f>
        <v>NV30</v>
      </c>
      <c r="B34" s="22" t="str">
        <f aca="false">IF(NHÂN_VẬT!$B$34="","",NHÂN_VẬT!$B$34)</f>
        <v/>
      </c>
      <c r="C34" s="22" t="str">
        <f aca="false">IF(NHÂN_VẬT!$D$34="","",NHÂN_VẬT!$D$34)</f>
        <v/>
      </c>
      <c r="D34" s="32" t="str">
        <f aca="false">IFERROR(INDEX(KHUNG_VAI_TRÒ!$K$9:$K$15,MATCH(C34,KHUNG_VAI_TRÒ!$A$9:$A$15,0)),"")</f>
        <v/>
      </c>
      <c r="E34" s="32" t="str">
        <f aca="false">IF(COUNTIFS(SKILL_THÀNH_PHẦN!$A$5:$A$84,$A34,SKILL_THÀNH_PHẦN!$C$5:$C$84,"Skill nộ")=0,"",SUMIFS(SKILL_THÀNH_PHẦN!$T$5:$T$84,SKILL_THÀNH_PHẦN!$A$5:$A$84,$A34,SKILL_THÀNH_PHẦN!$C$5:$C$84,"Skill nộ"))</f>
        <v/>
      </c>
      <c r="F34" s="32" t="str">
        <f aca="false">IF(COUNTIFS(SKILL_THÀNH_PHẦN!$A$5:$A$84,$A34,SKILL_THÀNH_PHẦN!$C$5:$C$84,"Skill nộ")=0,"",SUMIFS(SKILL_THÀNH_PHẦN!$U$5:$U$84,SKILL_THÀNH_PHẦN!$A$5:$A$84,$A34,SKILL_THÀNH_PHẦN!$C$5:$C$84,"Skill nộ"))</f>
        <v/>
      </c>
      <c r="G34" s="32" t="str">
        <f aca="false">IF(COUNTIFS(SKILL_THÀNH_PHẦN!$A$5:$A$84,$A34,SKILL_THÀNH_PHẦN!$C$5:$C$84,"Skill nộ")=0,"",SUMIFS(SKILL_THÀNH_PHẦN!$V$5:$V$84,SKILL_THÀNH_PHẦN!$A$5:$A$84,$A34,SKILL_THÀNH_PHẦN!$C$5:$C$84,"Skill nộ"))</f>
        <v/>
      </c>
      <c r="H34" s="31" t="str">
        <f aca="false">IF(OR(E34="",D34=""),"",E34/D34)</f>
        <v/>
      </c>
      <c r="I34" s="32" t="str">
        <f aca="false">IF(COUNTIFS(SKILL_THÀNH_PHẦN!$A$5:$A$84,$A34,SKILL_THÀNH_PHẦN!$C$5:$C$84,"Skill nộ")=0,"",COUNTIFS(SKILL_THÀNH_PHẦN!$A$5:$A$84,$A34,SKILL_THÀNH_PHẦN!$C$5:$C$84,"Skill nộ")-(COUNTIFS(SKILL_THÀNH_PHẦN!$A$5:$A$84,$A34,SKILL_THÀNH_PHẦN!$C$5:$C$84,"Skill nộ",SKILL_THÀNH_PHẦN!$F$5:$F$84,"Sát thương")+COUNTIFS(SKILL_THÀNH_PHẦN!$A$5:$A$84,$A34,SKILL_THÀNH_PHẦN!$C$5:$C$84,"Skill nộ",SKILL_THÀNH_PHẦN!$F$5:$F$84,"Hồi máu")+COUNTIFS(SKILL_THÀNH_PHẦN!$A$5:$A$84,$A34,SKILL_THÀNH_PHẦN!$C$5:$C$84,"Skill nộ",SKILL_THÀNH_PHẦN!$F$5:$F$84,"Khiên")))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2" activeCellId="0" sqref="A12"/>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2" min="2" style="1" width="10"/>
    <col collapsed="false" customWidth="true" hidden="false" outlineLevel="0" max="3" min="3" style="1" width="22"/>
    <col collapsed="false" customWidth="true" hidden="false" outlineLevel="0" max="4" min="4" style="1" width="52"/>
    <col collapsed="false" customWidth="true" hidden="false" outlineLevel="0" max="5" min="5" style="1" width="14"/>
    <col collapsed="false" customWidth="true" hidden="false" outlineLevel="0" max="6" min="6" style="1" width="22"/>
    <col collapsed="false" customWidth="true" hidden="false" outlineLevel="0" max="7" min="7" style="1" width="12"/>
    <col collapsed="false" customWidth="true" hidden="false" outlineLevel="0" max="8" min="8" style="1" width="24"/>
    <col collapsed="false" customWidth="true" hidden="false" outlineLevel="0" max="9" min="9" style="1" width="20"/>
    <col collapsed="false" customWidth="true" hidden="false" outlineLevel="0" max="10" min="10" style="1" width="22"/>
    <col collapsed="false" customWidth="true" hidden="false" outlineLevel="0" max="11" min="11" style="1" width="24"/>
    <col collapsed="false" customWidth="true" hidden="false" outlineLevel="0" max="12" min="12" style="1" width="18"/>
    <col collapsed="false" customWidth="true" hidden="false" outlineLevel="0" max="13" min="13" style="1" width="44"/>
  </cols>
  <sheetData>
    <row r="1" customFormat="false" ht="18" hidden="false" customHeight="true" outlineLevel="0" collapsed="false">
      <c r="A1" s="2" t="s">
        <v>594</v>
      </c>
    </row>
    <row r="2" customFormat="false" ht="15" hidden="false" customHeight="true" outlineLevel="0" collapsed="false">
      <c r="A2" s="9" t="s">
        <v>595</v>
      </c>
    </row>
    <row r="4" customFormat="false" ht="42" hidden="false" customHeight="true" outlineLevel="0" collapsed="false">
      <c r="A4" s="10" t="s">
        <v>596</v>
      </c>
      <c r="B4" s="10" t="s">
        <v>597</v>
      </c>
      <c r="C4" s="10" t="s">
        <v>54</v>
      </c>
      <c r="D4" s="10" t="s">
        <v>598</v>
      </c>
      <c r="E4" s="10" t="s">
        <v>599</v>
      </c>
      <c r="F4" s="10" t="s">
        <v>600</v>
      </c>
      <c r="G4" s="10" t="s">
        <v>601</v>
      </c>
      <c r="H4" s="10" t="s">
        <v>602</v>
      </c>
      <c r="I4" s="10" t="s">
        <v>603</v>
      </c>
      <c r="J4" s="10" t="s">
        <v>604</v>
      </c>
      <c r="K4" s="10" t="s">
        <v>605</v>
      </c>
      <c r="L4" s="10" t="s">
        <v>3</v>
      </c>
      <c r="M4" s="10" t="s">
        <v>57</v>
      </c>
    </row>
    <row r="5" customFormat="false" ht="25.5" hidden="false" customHeight="true" outlineLevel="0" collapsed="false">
      <c r="A5" s="21" t="s">
        <v>546</v>
      </c>
      <c r="B5" s="21" t="s">
        <v>606</v>
      </c>
      <c r="C5" s="21" t="s">
        <v>607</v>
      </c>
      <c r="D5" s="21" t="s">
        <v>608</v>
      </c>
      <c r="E5" s="21" t="n">
        <v>1</v>
      </c>
      <c r="F5" s="21" t="s">
        <v>609</v>
      </c>
      <c r="G5" s="21"/>
      <c r="H5" s="21" t="s">
        <v>610</v>
      </c>
      <c r="I5" s="21"/>
      <c r="J5" s="21"/>
      <c r="K5" s="21"/>
      <c r="L5" s="21" t="s">
        <v>207</v>
      </c>
      <c r="M5" s="21" t="s">
        <v>611</v>
      </c>
    </row>
    <row r="6" customFormat="false" ht="15" hidden="false" customHeight="true" outlineLevel="0" collapsed="false">
      <c r="A6" s="21" t="s">
        <v>550</v>
      </c>
      <c r="B6" s="21" t="s">
        <v>606</v>
      </c>
      <c r="C6" s="21" t="s">
        <v>607</v>
      </c>
      <c r="D6" s="21" t="s">
        <v>612</v>
      </c>
      <c r="E6" s="21" t="n">
        <v>1</v>
      </c>
      <c r="F6" s="21" t="s">
        <v>609</v>
      </c>
      <c r="G6" s="21"/>
      <c r="H6" s="21" t="s">
        <v>613</v>
      </c>
      <c r="I6" s="21"/>
      <c r="J6" s="21"/>
      <c r="K6" s="21"/>
      <c r="L6" s="21" t="s">
        <v>207</v>
      </c>
      <c r="M6" s="21"/>
    </row>
    <row r="7" customFormat="false" ht="15" hidden="false" customHeight="true" outlineLevel="0" collapsed="false">
      <c r="A7" s="21" t="s">
        <v>614</v>
      </c>
      <c r="B7" s="21" t="s">
        <v>606</v>
      </c>
      <c r="C7" s="21" t="s">
        <v>607</v>
      </c>
      <c r="D7" s="21" t="s">
        <v>615</v>
      </c>
      <c r="E7" s="21"/>
      <c r="F7" s="21"/>
      <c r="G7" s="21"/>
      <c r="H7" s="21"/>
      <c r="I7" s="21"/>
      <c r="J7" s="21"/>
      <c r="K7" s="21"/>
      <c r="L7" s="21" t="s">
        <v>616</v>
      </c>
      <c r="M7" s="21" t="s">
        <v>617</v>
      </c>
    </row>
    <row r="8" customFormat="false" ht="38.25" hidden="false" customHeight="true" outlineLevel="0" collapsed="false">
      <c r="A8" s="21" t="s">
        <v>563</v>
      </c>
      <c r="B8" s="21" t="s">
        <v>618</v>
      </c>
      <c r="C8" s="21" t="s">
        <v>619</v>
      </c>
      <c r="D8" s="21" t="s">
        <v>620</v>
      </c>
      <c r="E8" s="21" t="n">
        <v>2</v>
      </c>
      <c r="F8" s="21"/>
      <c r="G8" s="21"/>
      <c r="H8" s="21" t="s">
        <v>621</v>
      </c>
      <c r="I8" s="21"/>
      <c r="J8" s="21"/>
      <c r="K8" s="21"/>
      <c r="L8" s="21" t="s">
        <v>61</v>
      </c>
      <c r="M8" s="21" t="s">
        <v>622</v>
      </c>
    </row>
    <row r="9" customFormat="false" ht="25.5" hidden="false" customHeight="true" outlineLevel="0" collapsed="false">
      <c r="A9" s="21" t="s">
        <v>131</v>
      </c>
      <c r="B9" s="21" t="s">
        <v>618</v>
      </c>
      <c r="C9" s="21" t="s">
        <v>623</v>
      </c>
      <c r="D9" s="21" t="s">
        <v>624</v>
      </c>
      <c r="E9" s="21" t="n">
        <v>2</v>
      </c>
      <c r="F9" s="21" t="s">
        <v>609</v>
      </c>
      <c r="G9" s="21" t="n">
        <v>1</v>
      </c>
      <c r="H9" s="21" t="s">
        <v>532</v>
      </c>
      <c r="I9" s="21"/>
      <c r="J9" s="21"/>
      <c r="K9" s="21"/>
      <c r="L9" s="21" t="s">
        <v>61</v>
      </c>
      <c r="M9" s="21" t="s">
        <v>625</v>
      </c>
    </row>
    <row r="10" customFormat="false" ht="38.25" hidden="false" customHeight="true" outlineLevel="0" collapsed="false">
      <c r="A10" s="21" t="s">
        <v>146</v>
      </c>
      <c r="B10" s="21" t="s">
        <v>618</v>
      </c>
      <c r="C10" s="21" t="s">
        <v>626</v>
      </c>
      <c r="D10" s="21" t="s">
        <v>627</v>
      </c>
      <c r="E10" s="21" t="n">
        <v>1</v>
      </c>
      <c r="F10" s="21" t="s">
        <v>609</v>
      </c>
      <c r="G10" s="21" t="n">
        <v>1</v>
      </c>
      <c r="H10" s="21"/>
      <c r="I10" s="21"/>
      <c r="J10" s="21"/>
      <c r="K10" s="21"/>
      <c r="L10" s="21" t="s">
        <v>616</v>
      </c>
      <c r="M10" s="21" t="s">
        <v>628</v>
      </c>
    </row>
    <row r="11" customFormat="false" ht="15" hidden="false" customHeight="true" outlineLevel="0" collapsed="false">
      <c r="A11" s="21" t="s">
        <v>557</v>
      </c>
      <c r="B11" s="21" t="s">
        <v>606</v>
      </c>
      <c r="C11" s="21" t="s">
        <v>619</v>
      </c>
      <c r="D11" s="21" t="s">
        <v>629</v>
      </c>
      <c r="E11" s="21" t="n">
        <v>1</v>
      </c>
      <c r="F11" s="21" t="s">
        <v>609</v>
      </c>
      <c r="G11" s="21" t="n">
        <v>1</v>
      </c>
      <c r="H11" s="21" t="s">
        <v>630</v>
      </c>
      <c r="I11" s="21"/>
      <c r="J11" s="21"/>
      <c r="K11" s="21"/>
      <c r="L11" s="21" t="s">
        <v>616</v>
      </c>
      <c r="M11" s="21" t="s">
        <v>631</v>
      </c>
    </row>
    <row r="12" customFormat="false" ht="34.5" hidden="false" customHeight="true" outlineLevel="0" collapsed="false">
      <c r="A12" s="21" t="s">
        <v>255</v>
      </c>
      <c r="B12" s="21" t="s">
        <v>606</v>
      </c>
      <c r="C12" s="21" t="s">
        <v>607</v>
      </c>
      <c r="D12" s="21" t="s">
        <v>632</v>
      </c>
      <c r="E12" s="21" t="n">
        <v>1</v>
      </c>
      <c r="F12" s="21" t="s">
        <v>609</v>
      </c>
      <c r="G12" s="21" t="n">
        <v>1</v>
      </c>
      <c r="H12" s="21" t="s">
        <v>633</v>
      </c>
      <c r="I12" s="21" t="s">
        <v>634</v>
      </c>
      <c r="J12" s="21"/>
      <c r="K12" s="21"/>
      <c r="L12" s="21" t="s">
        <v>61</v>
      </c>
      <c r="M12" s="21" t="s">
        <v>635</v>
      </c>
    </row>
    <row r="13" customFormat="false" ht="15" hidden="false" customHeight="true" outlineLevel="0" collapsed="false">
      <c r="A13" s="21"/>
      <c r="B13" s="21"/>
      <c r="C13" s="21"/>
      <c r="D13" s="21"/>
      <c r="E13" s="21"/>
      <c r="F13" s="21"/>
      <c r="G13" s="21"/>
      <c r="H13" s="21"/>
      <c r="I13" s="21"/>
      <c r="J13" s="21"/>
      <c r="K13" s="21"/>
      <c r="L13" s="21"/>
      <c r="M13" s="21"/>
    </row>
    <row r="14" customFormat="false" ht="15" hidden="false" customHeight="true" outlineLevel="0" collapsed="false">
      <c r="A14" s="21"/>
      <c r="B14" s="21"/>
      <c r="C14" s="21"/>
      <c r="D14" s="21"/>
      <c r="E14" s="21"/>
      <c r="F14" s="21"/>
      <c r="G14" s="21"/>
      <c r="H14" s="21"/>
      <c r="I14" s="21"/>
      <c r="J14" s="21"/>
      <c r="K14" s="21"/>
      <c r="L14" s="21"/>
      <c r="M14" s="21"/>
    </row>
    <row r="15" customFormat="false" ht="15" hidden="false" customHeight="true" outlineLevel="0" collapsed="false">
      <c r="A15" s="21"/>
      <c r="B15" s="21"/>
      <c r="C15" s="21"/>
      <c r="D15" s="21"/>
      <c r="E15" s="21"/>
      <c r="F15" s="21"/>
      <c r="G15" s="21"/>
      <c r="H15" s="21"/>
      <c r="I15" s="21"/>
      <c r="J15" s="21"/>
      <c r="K15" s="21"/>
      <c r="L15" s="21"/>
      <c r="M15" s="21"/>
    </row>
    <row r="16" customFormat="false" ht="15" hidden="false" customHeight="true" outlineLevel="0" collapsed="false">
      <c r="A16" s="21"/>
      <c r="B16" s="21"/>
      <c r="C16" s="21"/>
      <c r="D16" s="21"/>
      <c r="E16" s="21"/>
      <c r="F16" s="21"/>
      <c r="G16" s="21"/>
      <c r="H16" s="21"/>
      <c r="I16" s="21"/>
      <c r="J16" s="21"/>
      <c r="K16" s="21"/>
      <c r="L16" s="21"/>
      <c r="M16" s="21"/>
    </row>
    <row r="17" customFormat="false" ht="15" hidden="false" customHeight="true" outlineLevel="0" collapsed="false">
      <c r="A17" s="21"/>
      <c r="B17" s="21"/>
      <c r="C17" s="21"/>
      <c r="D17" s="21"/>
      <c r="E17" s="21"/>
      <c r="F17" s="21"/>
      <c r="G17" s="21"/>
      <c r="H17" s="21"/>
      <c r="I17" s="21"/>
      <c r="J17" s="21"/>
      <c r="K17" s="21"/>
      <c r="L17" s="21"/>
      <c r="M17" s="21"/>
    </row>
    <row r="18" customFormat="false" ht="15" hidden="false" customHeight="true" outlineLevel="0" collapsed="false">
      <c r="A18" s="21"/>
      <c r="B18" s="21"/>
      <c r="C18" s="21"/>
      <c r="D18" s="21"/>
      <c r="E18" s="21"/>
      <c r="F18" s="21"/>
      <c r="G18" s="21"/>
      <c r="H18" s="21"/>
      <c r="I18" s="21"/>
      <c r="J18" s="21"/>
      <c r="K18" s="21"/>
      <c r="L18" s="21"/>
      <c r="M18" s="21"/>
    </row>
    <row r="19" customFormat="false" ht="15" hidden="false" customHeight="true" outlineLevel="0" collapsed="false">
      <c r="A19" s="21"/>
      <c r="B19" s="21"/>
      <c r="C19" s="21"/>
      <c r="D19" s="21"/>
      <c r="E19" s="21"/>
      <c r="F19" s="21"/>
      <c r="G19" s="21"/>
      <c r="H19" s="21"/>
      <c r="I19" s="21"/>
      <c r="J19" s="21"/>
      <c r="K19" s="21"/>
      <c r="L19" s="21"/>
      <c r="M19" s="21"/>
    </row>
    <row r="20" customFormat="false" ht="15" hidden="false" customHeight="true" outlineLevel="0" collapsed="false">
      <c r="A20" s="21"/>
      <c r="B20" s="21"/>
      <c r="C20" s="21"/>
      <c r="D20" s="21"/>
      <c r="E20" s="21"/>
      <c r="F20" s="21"/>
      <c r="G20" s="21"/>
      <c r="H20" s="21"/>
      <c r="I20" s="21"/>
      <c r="J20" s="21"/>
      <c r="K20" s="21"/>
      <c r="L20" s="21"/>
      <c r="M20" s="21"/>
    </row>
    <row r="21" customFormat="false" ht="15" hidden="false" customHeight="true" outlineLevel="0" collapsed="false">
      <c r="A21" s="21"/>
      <c r="B21" s="21"/>
      <c r="C21" s="21"/>
      <c r="D21" s="21"/>
      <c r="E21" s="21"/>
      <c r="F21" s="21"/>
      <c r="G21" s="21"/>
      <c r="H21" s="21"/>
      <c r="I21" s="21"/>
      <c r="J21" s="21"/>
      <c r="K21" s="21"/>
      <c r="L21" s="21"/>
      <c r="M21" s="21"/>
    </row>
    <row r="22" customFormat="false" ht="15" hidden="false" customHeight="true" outlineLevel="0" collapsed="false">
      <c r="A22" s="21"/>
      <c r="B22" s="21"/>
      <c r="C22" s="21"/>
      <c r="D22" s="21"/>
      <c r="E22" s="21"/>
      <c r="F22" s="21"/>
      <c r="G22" s="21"/>
      <c r="H22" s="21"/>
      <c r="I22" s="21"/>
      <c r="J22" s="21"/>
      <c r="K22" s="21"/>
      <c r="L22" s="21"/>
      <c r="M22" s="21"/>
    </row>
    <row r="23" customFormat="false" ht="15" hidden="false" customHeight="true" outlineLevel="0" collapsed="false">
      <c r="A23" s="21"/>
      <c r="B23" s="21"/>
      <c r="C23" s="21"/>
      <c r="D23" s="21"/>
      <c r="E23" s="21"/>
      <c r="F23" s="21"/>
      <c r="G23" s="21"/>
      <c r="H23" s="21"/>
      <c r="I23" s="21"/>
      <c r="J23" s="21"/>
      <c r="K23" s="21"/>
      <c r="L23" s="21"/>
      <c r="M23" s="21"/>
    </row>
    <row r="24" customFormat="false" ht="15" hidden="false" customHeight="true" outlineLevel="0" collapsed="false">
      <c r="A24" s="21"/>
      <c r="B24" s="21"/>
      <c r="C24" s="21"/>
      <c r="D24" s="21"/>
      <c r="E24" s="21"/>
      <c r="F24" s="21"/>
      <c r="G24" s="21"/>
      <c r="H24" s="21"/>
      <c r="I24" s="21"/>
      <c r="J24" s="21"/>
      <c r="K24" s="21"/>
      <c r="L24" s="21"/>
      <c r="M24" s="21"/>
    </row>
    <row r="25" customFormat="false" ht="15" hidden="false" customHeight="true" outlineLevel="0" collapsed="false">
      <c r="A25" s="21"/>
      <c r="B25" s="21"/>
      <c r="C25" s="21"/>
      <c r="D25" s="21"/>
      <c r="E25" s="21"/>
      <c r="F25" s="21"/>
      <c r="G25" s="21"/>
      <c r="H25" s="21"/>
      <c r="I25" s="21"/>
      <c r="J25" s="21"/>
      <c r="K25" s="21"/>
      <c r="L25" s="21"/>
      <c r="M25" s="21"/>
    </row>
    <row r="26" customFormat="false" ht="15" hidden="false" customHeight="true" outlineLevel="0" collapsed="false">
      <c r="A26" s="21"/>
      <c r="B26" s="21"/>
      <c r="C26" s="21"/>
      <c r="D26" s="21"/>
      <c r="E26" s="21"/>
      <c r="F26" s="21"/>
      <c r="G26" s="21"/>
      <c r="H26" s="21"/>
      <c r="I26" s="21"/>
      <c r="J26" s="21"/>
      <c r="K26" s="21"/>
      <c r="L26" s="21"/>
      <c r="M26" s="21"/>
    </row>
    <row r="27" customFormat="false" ht="15" hidden="false" customHeight="true" outlineLevel="0" collapsed="false">
      <c r="A27" s="21"/>
      <c r="B27" s="21"/>
      <c r="C27" s="21"/>
      <c r="D27" s="21"/>
      <c r="E27" s="21"/>
      <c r="F27" s="21"/>
      <c r="G27" s="21"/>
      <c r="H27" s="21"/>
      <c r="I27" s="21"/>
      <c r="J27" s="21"/>
      <c r="K27" s="21"/>
      <c r="L27" s="21"/>
      <c r="M27" s="21"/>
    </row>
    <row r="28" customFormat="false" ht="15" hidden="false" customHeight="true" outlineLevel="0" collapsed="false">
      <c r="A28" s="21"/>
      <c r="B28" s="21"/>
      <c r="C28" s="21"/>
      <c r="D28" s="21"/>
      <c r="E28" s="21"/>
      <c r="F28" s="21"/>
      <c r="G28" s="21"/>
      <c r="H28" s="21"/>
      <c r="I28" s="21"/>
      <c r="J28" s="21"/>
      <c r="K28" s="21"/>
      <c r="L28" s="21"/>
      <c r="M28" s="21"/>
    </row>
    <row r="29" customFormat="false" ht="15" hidden="false" customHeight="true" outlineLevel="0" collapsed="false">
      <c r="A29" s="21"/>
      <c r="B29" s="21"/>
      <c r="C29" s="21"/>
      <c r="D29" s="21"/>
      <c r="E29" s="21"/>
      <c r="F29" s="21"/>
      <c r="G29" s="21"/>
      <c r="H29" s="21"/>
      <c r="I29" s="21"/>
      <c r="J29" s="21"/>
      <c r="K29" s="21"/>
      <c r="L29" s="21"/>
      <c r="M29" s="21"/>
    </row>
    <row r="30" customFormat="false" ht="15" hidden="false" customHeight="true" outlineLevel="0" collapsed="false">
      <c r="A30" s="21"/>
      <c r="B30" s="21"/>
      <c r="C30" s="21"/>
      <c r="D30" s="21"/>
      <c r="E30" s="21"/>
      <c r="F30" s="21"/>
      <c r="G30" s="21"/>
      <c r="H30" s="21"/>
      <c r="I30" s="21"/>
      <c r="J30" s="21"/>
      <c r="K30" s="21"/>
      <c r="L30" s="21"/>
      <c r="M30" s="21"/>
    </row>
    <row r="31" customFormat="false" ht="15" hidden="false" customHeight="true" outlineLevel="0" collapsed="false">
      <c r="A31" s="21"/>
      <c r="B31" s="21"/>
      <c r="C31" s="21"/>
      <c r="D31" s="21"/>
      <c r="E31" s="21"/>
      <c r="F31" s="21"/>
      <c r="G31" s="21"/>
      <c r="H31" s="21"/>
      <c r="I31" s="21"/>
      <c r="J31" s="21"/>
      <c r="K31" s="21"/>
      <c r="L31" s="21"/>
      <c r="M31" s="21"/>
    </row>
    <row r="32" customFormat="false" ht="15" hidden="false" customHeight="true" outlineLevel="0" collapsed="false">
      <c r="A32" s="21"/>
      <c r="B32" s="21"/>
      <c r="C32" s="21"/>
      <c r="D32" s="21"/>
      <c r="E32" s="21"/>
      <c r="F32" s="21"/>
      <c r="G32" s="21"/>
      <c r="H32" s="21"/>
      <c r="I32" s="21"/>
      <c r="J32" s="21"/>
      <c r="K32" s="21"/>
      <c r="L32" s="21"/>
      <c r="M32" s="21"/>
    </row>
    <row r="33" customFormat="false" ht="15" hidden="false" customHeight="true" outlineLevel="0" collapsed="false">
      <c r="A33" s="21"/>
      <c r="B33" s="21"/>
      <c r="C33" s="21"/>
      <c r="D33" s="21"/>
      <c r="E33" s="21"/>
      <c r="F33" s="21"/>
      <c r="G33" s="21"/>
      <c r="H33" s="21"/>
      <c r="I33" s="21"/>
      <c r="J33" s="21"/>
      <c r="K33" s="21"/>
      <c r="L33" s="21"/>
      <c r="M33" s="21"/>
    </row>
    <row r="34" customFormat="false" ht="15" hidden="false" customHeight="true" outlineLevel="0" collapsed="false">
      <c r="A34" s="21"/>
      <c r="B34" s="21"/>
      <c r="C34" s="21"/>
      <c r="D34" s="21"/>
      <c r="E34" s="21"/>
      <c r="F34" s="21"/>
      <c r="G34" s="21"/>
      <c r="H34" s="21"/>
      <c r="I34" s="21"/>
      <c r="J34" s="21"/>
      <c r="K34" s="21"/>
      <c r="L34" s="21"/>
      <c r="M34" s="21"/>
    </row>
    <row r="35" customFormat="false" ht="15" hidden="false" customHeight="true" outlineLevel="0" collapsed="false">
      <c r="A35" s="21"/>
      <c r="B35" s="21"/>
      <c r="C35" s="21"/>
      <c r="D35" s="21"/>
      <c r="E35" s="21"/>
      <c r="F35" s="21"/>
      <c r="G35" s="21"/>
      <c r="H35" s="21"/>
      <c r="I35" s="21"/>
      <c r="J35" s="21"/>
      <c r="K35" s="21"/>
      <c r="L35" s="21"/>
      <c r="M35" s="21"/>
    </row>
    <row r="36" customFormat="false" ht="15" hidden="false" customHeight="true" outlineLevel="0" collapsed="false">
      <c r="A36" s="21"/>
      <c r="B36" s="21"/>
      <c r="C36" s="21"/>
      <c r="D36" s="21"/>
      <c r="E36" s="21"/>
      <c r="F36" s="21"/>
      <c r="G36" s="21"/>
      <c r="H36" s="21"/>
      <c r="I36" s="21"/>
      <c r="J36" s="21"/>
      <c r="K36" s="21"/>
      <c r="L36" s="21"/>
      <c r="M36" s="21"/>
    </row>
    <row r="37" customFormat="false" ht="15" hidden="false" customHeight="true" outlineLevel="0" collapsed="false">
      <c r="A37" s="21"/>
      <c r="B37" s="21"/>
      <c r="C37" s="21"/>
      <c r="D37" s="21"/>
      <c r="E37" s="21"/>
      <c r="F37" s="21"/>
      <c r="G37" s="21"/>
      <c r="H37" s="21"/>
      <c r="I37" s="21"/>
      <c r="J37" s="21"/>
      <c r="K37" s="21"/>
      <c r="L37" s="21"/>
      <c r="M37" s="21"/>
    </row>
    <row r="38" customFormat="false" ht="15" hidden="false" customHeight="true" outlineLevel="0" collapsed="false">
      <c r="A38" s="21"/>
      <c r="B38" s="21"/>
      <c r="C38" s="21"/>
      <c r="D38" s="21"/>
      <c r="E38" s="21"/>
      <c r="F38" s="21"/>
      <c r="G38" s="21"/>
      <c r="H38" s="21"/>
      <c r="I38" s="21"/>
      <c r="J38" s="21"/>
      <c r="K38" s="21"/>
      <c r="L38" s="21"/>
      <c r="M38" s="21"/>
    </row>
    <row r="39" customFormat="false" ht="15" hidden="false" customHeight="true" outlineLevel="0" collapsed="false">
      <c r="A39" s="21"/>
      <c r="B39" s="21"/>
      <c r="C39" s="21"/>
      <c r="D39" s="21"/>
      <c r="E39" s="21"/>
      <c r="F39" s="21"/>
      <c r="G39" s="21"/>
      <c r="H39" s="21"/>
      <c r="I39" s="21"/>
      <c r="J39" s="21"/>
      <c r="K39" s="21"/>
      <c r="L39" s="21"/>
      <c r="M39" s="21"/>
    </row>
    <row r="40" customFormat="false" ht="15" hidden="false" customHeight="true" outlineLevel="0" collapsed="false">
      <c r="A40" s="21"/>
      <c r="B40" s="21"/>
      <c r="C40" s="21"/>
      <c r="D40" s="21"/>
      <c r="E40" s="21"/>
      <c r="F40" s="21"/>
      <c r="G40" s="21"/>
      <c r="H40" s="21"/>
      <c r="I40" s="21"/>
      <c r="J40" s="21"/>
      <c r="K40" s="21"/>
      <c r="L40" s="21"/>
      <c r="M40" s="21"/>
    </row>
    <row r="41" customFormat="false" ht="15" hidden="false" customHeight="true" outlineLevel="0" collapsed="false">
      <c r="A41" s="21"/>
      <c r="B41" s="21"/>
      <c r="C41" s="21"/>
      <c r="D41" s="21"/>
      <c r="E41" s="21"/>
      <c r="F41" s="21"/>
      <c r="G41" s="21"/>
      <c r="H41" s="21"/>
      <c r="I41" s="21"/>
      <c r="J41" s="21"/>
      <c r="K41" s="21"/>
      <c r="L41" s="21"/>
      <c r="M41" s="21"/>
    </row>
    <row r="42" customFormat="false" ht="15" hidden="false" customHeight="true" outlineLevel="0" collapsed="false">
      <c r="A42" s="21"/>
      <c r="B42" s="21"/>
      <c r="C42" s="21"/>
      <c r="D42" s="21"/>
      <c r="E42" s="21"/>
      <c r="F42" s="21"/>
      <c r="G42" s="21"/>
      <c r="H42" s="21"/>
      <c r="I42" s="21"/>
      <c r="J42" s="21"/>
      <c r="K42" s="21"/>
      <c r="L42" s="21"/>
      <c r="M42" s="21"/>
    </row>
    <row r="43" customFormat="false" ht="15" hidden="false" customHeight="true" outlineLevel="0" collapsed="false">
      <c r="A43" s="21"/>
      <c r="B43" s="21"/>
      <c r="C43" s="21"/>
      <c r="D43" s="21"/>
      <c r="E43" s="21"/>
      <c r="F43" s="21"/>
      <c r="G43" s="21"/>
      <c r="H43" s="21"/>
      <c r="I43" s="21"/>
      <c r="J43" s="21"/>
      <c r="K43" s="21"/>
      <c r="L43" s="21"/>
      <c r="M43" s="21"/>
    </row>
    <row r="44" customFormat="false" ht="15" hidden="false" customHeight="true" outlineLevel="0" collapsed="false">
      <c r="A44" s="21"/>
      <c r="B44" s="21"/>
      <c r="C44" s="21"/>
      <c r="D44" s="21"/>
      <c r="E44" s="21"/>
      <c r="F44" s="21"/>
      <c r="G44" s="21"/>
      <c r="H44" s="21"/>
      <c r="I44" s="21"/>
      <c r="J44" s="21"/>
      <c r="K44" s="21"/>
      <c r="L44" s="21"/>
      <c r="M44" s="21"/>
    </row>
  </sheetData>
  <dataValidations count="4">
    <dataValidation allowBlank="true" error="Giá trị này không có trong DANH_MỤC. Vẫn dùng được nhưng nên thêm vào danh sách." errorStyle="warning" errorTitle="Ngoài danh sách" operator="between" showDropDown="false" showErrorMessage="true" showInputMessage="false" sqref="B5:B44" type="list">
      <formula1>DANH_MỤC!$H$2:$H$3</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C5:C44" type="list">
      <formula1>DANH_MỤC!$I$2:$I$7</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F5:F44" type="list">
      <formula1>DANH_MỤC!$F$2:$F$5</formula1>
      <formula2>0</formula2>
    </dataValidation>
    <dataValidation allowBlank="true" error="Giá trị này không có trong DANH_MỤC. Vẫn dùng được nhưng nên thêm vào danh sách." errorStyle="warning" errorTitle="Ngoài danh sách" operator="between" showDropDown="false" showErrorMessage="true" showInputMessage="false" sqref="L5:L44" type="list">
      <formula1>DANH_MỤC!$J$2:$J$5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10"/>
    <col collapsed="false" customWidth="true" hidden="false" outlineLevel="0" max="4" min="4" style="1" width="6"/>
    <col collapsed="false" customWidth="true" hidden="false" outlineLevel="0" max="5" min="5" style="1" width="14"/>
    <col collapsed="false" customWidth="true" hidden="false" outlineLevel="0" max="6" min="6" style="1" width="9"/>
    <col collapsed="false" customWidth="true" hidden="false" outlineLevel="0" max="8" min="7" style="1" width="8"/>
    <col collapsed="false" customWidth="true" hidden="false" outlineLevel="0" max="9" min="9" style="1" width="9"/>
    <col collapsed="false" customWidth="true" hidden="false" outlineLevel="0" max="10" min="10" style="1" width="10"/>
    <col collapsed="false" customWidth="true" hidden="false" outlineLevel="0" max="11" min="11" style="1" width="9"/>
    <col collapsed="false" customWidth="true" hidden="false" outlineLevel="0" max="12" min="12" style="1" width="10"/>
    <col collapsed="false" customWidth="true" hidden="false" outlineLevel="0" max="15" min="13" style="1" width="12"/>
    <col collapsed="false" customWidth="true" hidden="false" outlineLevel="0" max="16" min="16" style="1" width="18"/>
    <col collapsed="false" customWidth="true" hidden="false" outlineLevel="0" max="17" min="17" style="1" width="46"/>
    <col collapsed="false" customWidth="true" hidden="false" outlineLevel="0" max="18" min="18" style="1" width="18"/>
    <col collapsed="false" customWidth="true" hidden="false" outlineLevel="0" max="20" min="19" style="1" width="40"/>
  </cols>
  <sheetData>
    <row r="1" customFormat="false" ht="17.25" hidden="false" customHeight="true" outlineLevel="0" collapsed="false">
      <c r="A1" s="2" t="s">
        <v>636</v>
      </c>
    </row>
    <row r="2" customFormat="false" ht="15" hidden="false" customHeight="true" outlineLevel="0" collapsed="false">
      <c r="A2" s="9" t="s">
        <v>637</v>
      </c>
    </row>
    <row r="4" customFormat="false" ht="42" hidden="false" customHeight="true" outlineLevel="0" collapsed="false">
      <c r="A4" s="10" t="s">
        <v>638</v>
      </c>
      <c r="B4" s="10" t="s">
        <v>639</v>
      </c>
      <c r="C4" s="10" t="s">
        <v>432</v>
      </c>
      <c r="D4" s="10" t="s">
        <v>640</v>
      </c>
      <c r="E4" s="10" t="s">
        <v>641</v>
      </c>
      <c r="F4" s="10" t="s">
        <v>282</v>
      </c>
      <c r="G4" s="10" t="s">
        <v>283</v>
      </c>
      <c r="H4" s="10" t="s">
        <v>284</v>
      </c>
      <c r="I4" s="10" t="s">
        <v>285</v>
      </c>
      <c r="J4" s="10" t="s">
        <v>396</v>
      </c>
      <c r="K4" s="10" t="s">
        <v>397</v>
      </c>
      <c r="L4" s="10" t="s">
        <v>398</v>
      </c>
      <c r="M4" s="10" t="s">
        <v>399</v>
      </c>
      <c r="N4" s="10" t="s">
        <v>400</v>
      </c>
      <c r="O4" s="10" t="s">
        <v>401</v>
      </c>
      <c r="P4" s="10" t="s">
        <v>642</v>
      </c>
      <c r="Q4" s="10" t="s">
        <v>643</v>
      </c>
      <c r="R4" s="10" t="s">
        <v>644</v>
      </c>
      <c r="S4" s="10" t="s">
        <v>645</v>
      </c>
      <c r="T4" s="10" t="s">
        <v>646</v>
      </c>
    </row>
    <row r="5" customFormat="false" ht="23.25" hidden="false" customHeight="true" outlineLevel="0" collapsed="false">
      <c r="A5" s="34" t="s">
        <v>647</v>
      </c>
      <c r="B5" s="21" t="s">
        <v>648</v>
      </c>
      <c r="C5" s="21" t="s">
        <v>649</v>
      </c>
      <c r="D5" s="21" t="s">
        <v>650</v>
      </c>
      <c r="E5" s="21" t="s">
        <v>332</v>
      </c>
      <c r="F5" s="18" t="n">
        <v>450</v>
      </c>
      <c r="G5" s="18" t="n">
        <v>65</v>
      </c>
      <c r="H5" s="18" t="n">
        <v>10</v>
      </c>
      <c r="I5" s="33" t="n">
        <v>100</v>
      </c>
      <c r="J5" s="33" t="n">
        <v>0</v>
      </c>
      <c r="K5" s="24" t="n">
        <v>0.03</v>
      </c>
      <c r="L5" s="24" t="n">
        <v>0</v>
      </c>
      <c r="M5" s="24" t="n">
        <v>0.02</v>
      </c>
      <c r="N5" s="25" t="n">
        <v>1.5</v>
      </c>
      <c r="O5" s="24" t="n">
        <v>0</v>
      </c>
      <c r="P5" s="21" t="s">
        <v>651</v>
      </c>
      <c r="Q5" s="21" t="s">
        <v>455</v>
      </c>
      <c r="R5" s="21"/>
      <c r="S5" s="21"/>
      <c r="T5" s="21" t="s">
        <v>652</v>
      </c>
    </row>
    <row r="6" customFormat="false" ht="23.25" hidden="false" customHeight="true" outlineLevel="0" collapsed="false">
      <c r="A6" s="34" t="s">
        <v>653</v>
      </c>
      <c r="B6" s="21" t="s">
        <v>654</v>
      </c>
      <c r="C6" s="21" t="s">
        <v>649</v>
      </c>
      <c r="D6" s="21" t="s">
        <v>650</v>
      </c>
      <c r="E6" s="21" t="s">
        <v>332</v>
      </c>
      <c r="F6" s="18" t="n">
        <v>1000</v>
      </c>
      <c r="G6" s="18" t="n">
        <v>100</v>
      </c>
      <c r="H6" s="18" t="n">
        <v>40</v>
      </c>
      <c r="I6" s="33" t="n">
        <v>105</v>
      </c>
      <c r="J6" s="33" t="n">
        <v>0</v>
      </c>
      <c r="K6" s="24" t="n">
        <v>0.08</v>
      </c>
      <c r="L6" s="24" t="n">
        <v>0</v>
      </c>
      <c r="M6" s="24" t="n">
        <v>0.02</v>
      </c>
      <c r="N6" s="25" t="n">
        <v>1.5</v>
      </c>
      <c r="O6" s="24" t="n">
        <v>0</v>
      </c>
      <c r="P6" s="21" t="s">
        <v>655</v>
      </c>
      <c r="Q6" s="21" t="s">
        <v>656</v>
      </c>
      <c r="R6" s="21"/>
      <c r="S6" s="21"/>
      <c r="T6" s="21" t="s">
        <v>657</v>
      </c>
    </row>
    <row r="7" customFormat="false" ht="23.25" hidden="false" customHeight="true" outlineLevel="0" collapsed="false">
      <c r="A7" s="34" t="s">
        <v>658</v>
      </c>
      <c r="B7" s="21" t="s">
        <v>659</v>
      </c>
      <c r="C7" s="21" t="s">
        <v>660</v>
      </c>
      <c r="D7" s="21" t="s">
        <v>650</v>
      </c>
      <c r="E7" s="21" t="s">
        <v>332</v>
      </c>
      <c r="F7" s="18" t="n">
        <v>1500</v>
      </c>
      <c r="G7" s="18" t="n">
        <v>70</v>
      </c>
      <c r="H7" s="18" t="n">
        <v>80</v>
      </c>
      <c r="I7" s="33" t="n">
        <v>80</v>
      </c>
      <c r="J7" s="33" t="n">
        <v>25</v>
      </c>
      <c r="K7" s="24" t="n">
        <v>0.02</v>
      </c>
      <c r="L7" s="24" t="n">
        <v>0</v>
      </c>
      <c r="M7" s="24" t="n">
        <v>0.02</v>
      </c>
      <c r="N7" s="25" t="n">
        <v>1.5</v>
      </c>
      <c r="O7" s="24" t="n">
        <v>0</v>
      </c>
      <c r="P7" s="21" t="s">
        <v>661</v>
      </c>
      <c r="Q7" s="21" t="s">
        <v>662</v>
      </c>
      <c r="R7" s="21"/>
      <c r="S7" s="21"/>
      <c r="T7" s="21" t="s">
        <v>663</v>
      </c>
    </row>
    <row r="8" customFormat="false" ht="23.25" hidden="false" customHeight="true" outlineLevel="0" collapsed="false">
      <c r="A8" s="34" t="s">
        <v>664</v>
      </c>
      <c r="B8" s="21" t="s">
        <v>665</v>
      </c>
      <c r="C8" s="21" t="s">
        <v>666</v>
      </c>
      <c r="D8" s="21" t="s">
        <v>650</v>
      </c>
      <c r="E8" s="21" t="s">
        <v>332</v>
      </c>
      <c r="F8" s="18" t="n">
        <v>4000</v>
      </c>
      <c r="G8" s="18" t="n">
        <v>110</v>
      </c>
      <c r="H8" s="18" t="n">
        <v>45</v>
      </c>
      <c r="I8" s="33" t="n">
        <v>110</v>
      </c>
      <c r="J8" s="33" t="n">
        <v>20</v>
      </c>
      <c r="K8" s="24" t="n">
        <v>0.1</v>
      </c>
      <c r="L8" s="24" t="n">
        <v>0</v>
      </c>
      <c r="M8" s="24" t="n">
        <v>0.05</v>
      </c>
      <c r="N8" s="25" t="n">
        <v>1.5</v>
      </c>
      <c r="O8" s="24" t="n">
        <v>0</v>
      </c>
      <c r="P8" s="21" t="s">
        <v>667</v>
      </c>
      <c r="Q8" s="21" t="s">
        <v>668</v>
      </c>
      <c r="R8" s="21" t="s">
        <v>669</v>
      </c>
      <c r="S8" s="21" t="s">
        <v>670</v>
      </c>
      <c r="T8" s="21" t="s">
        <v>671</v>
      </c>
    </row>
    <row r="9" customFormat="false" ht="23.25" hidden="false" customHeight="true" outlineLevel="0" collapsed="false">
      <c r="A9" s="34" t="s">
        <v>672</v>
      </c>
      <c r="B9" s="21" t="s">
        <v>673</v>
      </c>
      <c r="C9" s="21" t="s">
        <v>666</v>
      </c>
      <c r="D9" s="21" t="s">
        <v>674</v>
      </c>
      <c r="E9" s="21" t="s">
        <v>332</v>
      </c>
      <c r="F9" s="18" t="n">
        <v>6000</v>
      </c>
      <c r="G9" s="18" t="n">
        <v>120</v>
      </c>
      <c r="H9" s="18" t="n">
        <v>60</v>
      </c>
      <c r="I9" s="33" t="n">
        <v>108</v>
      </c>
      <c r="J9" s="33" t="n">
        <v>30</v>
      </c>
      <c r="K9" s="24" t="n">
        <v>0.02</v>
      </c>
      <c r="L9" s="24" t="n">
        <v>0</v>
      </c>
      <c r="M9" s="24" t="n">
        <v>0.05</v>
      </c>
      <c r="N9" s="25" t="n">
        <v>1.5</v>
      </c>
      <c r="O9" s="24" t="n">
        <v>0</v>
      </c>
      <c r="P9" s="21" t="s">
        <v>675</v>
      </c>
      <c r="Q9" s="21" t="s">
        <v>676</v>
      </c>
      <c r="R9" s="21" t="s">
        <v>677</v>
      </c>
      <c r="S9" s="21" t="s">
        <v>678</v>
      </c>
      <c r="T9" s="21" t="s">
        <v>679</v>
      </c>
    </row>
    <row r="10" customFormat="false" ht="23.25" hidden="false" customHeight="true" outlineLevel="0" collapsed="false">
      <c r="A10" s="34" t="s">
        <v>680</v>
      </c>
      <c r="B10" s="21" t="s">
        <v>681</v>
      </c>
      <c r="C10" s="21" t="s">
        <v>649</v>
      </c>
      <c r="D10" s="21" t="s">
        <v>674</v>
      </c>
      <c r="E10" s="21" t="s">
        <v>341</v>
      </c>
      <c r="F10" s="18" t="n">
        <v>900</v>
      </c>
      <c r="G10" s="18" t="n">
        <v>110</v>
      </c>
      <c r="H10" s="18" t="n">
        <v>40</v>
      </c>
      <c r="I10" s="33" t="n">
        <v>112</v>
      </c>
      <c r="J10" s="33" t="n">
        <v>0</v>
      </c>
      <c r="K10" s="24" t="n">
        <v>0.04</v>
      </c>
      <c r="L10" s="24" t="n">
        <v>0</v>
      </c>
      <c r="M10" s="24" t="n">
        <v>0.06</v>
      </c>
      <c r="N10" s="25" t="n">
        <v>1.5</v>
      </c>
      <c r="O10" s="24" t="n">
        <v>0</v>
      </c>
      <c r="P10" s="21" t="s">
        <v>682</v>
      </c>
      <c r="Q10" s="21" t="s">
        <v>683</v>
      </c>
      <c r="R10" s="21"/>
      <c r="S10" s="21"/>
      <c r="T10" s="21" t="s">
        <v>684</v>
      </c>
    </row>
    <row r="11" customFormat="false" ht="23.25" hidden="false" customHeight="true" outlineLevel="0" collapsed="false">
      <c r="A11" s="34" t="s">
        <v>685</v>
      </c>
      <c r="B11" s="21" t="s">
        <v>686</v>
      </c>
      <c r="C11" s="21" t="s">
        <v>649</v>
      </c>
      <c r="D11" s="21" t="s">
        <v>674</v>
      </c>
      <c r="E11" s="21" t="s">
        <v>341</v>
      </c>
      <c r="F11" s="18" t="n">
        <v>800</v>
      </c>
      <c r="G11" s="18" t="n">
        <v>100</v>
      </c>
      <c r="H11" s="18" t="n">
        <v>35</v>
      </c>
      <c r="I11" s="33" t="n">
        <v>118</v>
      </c>
      <c r="J11" s="33" t="n">
        <v>0</v>
      </c>
      <c r="K11" s="24" t="n">
        <v>0.05</v>
      </c>
      <c r="L11" s="24" t="n">
        <v>0</v>
      </c>
      <c r="M11" s="24" t="n">
        <v>0.04</v>
      </c>
      <c r="N11" s="25" t="n">
        <v>1.5</v>
      </c>
      <c r="O11" s="24" t="n">
        <v>0</v>
      </c>
      <c r="P11" s="21" t="s">
        <v>687</v>
      </c>
      <c r="Q11" s="21" t="s">
        <v>688</v>
      </c>
      <c r="R11" s="21" t="s">
        <v>689</v>
      </c>
      <c r="S11" s="21" t="s">
        <v>690</v>
      </c>
      <c r="T11" s="21" t="s">
        <v>691</v>
      </c>
    </row>
    <row r="12" customFormat="false" ht="23.25" hidden="false" customHeight="true" outlineLevel="0" collapsed="false">
      <c r="A12" s="34" t="s">
        <v>692</v>
      </c>
      <c r="B12" s="21" t="s">
        <v>693</v>
      </c>
      <c r="C12" s="21" t="s">
        <v>649</v>
      </c>
      <c r="D12" s="21" t="s">
        <v>674</v>
      </c>
      <c r="E12" s="21" t="s">
        <v>332</v>
      </c>
      <c r="F12" s="18" t="n">
        <v>1100</v>
      </c>
      <c r="G12" s="18" t="n">
        <v>120</v>
      </c>
      <c r="H12" s="18" t="n">
        <v>30</v>
      </c>
      <c r="I12" s="33" t="n">
        <v>115</v>
      </c>
      <c r="J12" s="33" t="n">
        <v>0</v>
      </c>
      <c r="K12" s="24" t="n">
        <v>0.05</v>
      </c>
      <c r="L12" s="24" t="n">
        <v>0</v>
      </c>
      <c r="M12" s="24" t="n">
        <v>0.06</v>
      </c>
      <c r="N12" s="25" t="n">
        <v>1.5</v>
      </c>
      <c r="O12" s="24" t="n">
        <v>0</v>
      </c>
      <c r="P12" s="21" t="s">
        <v>694</v>
      </c>
      <c r="Q12" s="21" t="s">
        <v>695</v>
      </c>
      <c r="R12" s="21"/>
      <c r="S12" s="21"/>
      <c r="T12" s="21" t="s">
        <v>696</v>
      </c>
    </row>
    <row r="13" customFormat="false" ht="23.25" hidden="false" customHeight="true" outlineLevel="0" collapsed="false">
      <c r="A13" s="34" t="s">
        <v>697</v>
      </c>
      <c r="B13" s="21" t="s">
        <v>698</v>
      </c>
      <c r="C13" s="21" t="s">
        <v>666</v>
      </c>
      <c r="D13" s="21" t="s">
        <v>674</v>
      </c>
      <c r="E13" s="21" t="s">
        <v>332</v>
      </c>
      <c r="F13" s="18" t="n">
        <v>7000</v>
      </c>
      <c r="G13" s="18" t="n">
        <v>100</v>
      </c>
      <c r="H13" s="18" t="n">
        <v>55</v>
      </c>
      <c r="I13" s="33" t="n">
        <v>105</v>
      </c>
      <c r="J13" s="33" t="n">
        <v>40</v>
      </c>
      <c r="K13" s="24" t="n">
        <v>0.02</v>
      </c>
      <c r="L13" s="24" t="n">
        <v>0</v>
      </c>
      <c r="M13" s="24" t="n">
        <v>0.04</v>
      </c>
      <c r="N13" s="25" t="n">
        <v>1.5</v>
      </c>
      <c r="O13" s="24" t="n">
        <v>0</v>
      </c>
      <c r="P13" s="21" t="s">
        <v>699</v>
      </c>
      <c r="Q13" s="21" t="s">
        <v>700</v>
      </c>
      <c r="R13" s="21" t="s">
        <v>701</v>
      </c>
      <c r="S13" s="21" t="s">
        <v>702</v>
      </c>
      <c r="T13" s="21" t="s">
        <v>703</v>
      </c>
    </row>
    <row r="14" customFormat="false" ht="23.25" hidden="false" customHeight="true" outlineLevel="0" collapsed="false">
      <c r="A14" s="34" t="s">
        <v>704</v>
      </c>
      <c r="B14" s="21" t="s">
        <v>705</v>
      </c>
      <c r="C14" s="21" t="s">
        <v>649</v>
      </c>
      <c r="D14" s="21" t="s">
        <v>706</v>
      </c>
      <c r="E14" s="21" t="s">
        <v>332</v>
      </c>
      <c r="F14" s="18" t="n">
        <v>1800</v>
      </c>
      <c r="G14" s="18" t="n">
        <v>90</v>
      </c>
      <c r="H14" s="18" t="n">
        <v>90</v>
      </c>
      <c r="I14" s="33" t="n">
        <v>85</v>
      </c>
      <c r="J14" s="33" t="n">
        <v>0</v>
      </c>
      <c r="K14" s="24" t="n">
        <v>0.02</v>
      </c>
      <c r="L14" s="24" t="n">
        <v>0</v>
      </c>
      <c r="M14" s="24" t="n">
        <v>0.02</v>
      </c>
      <c r="N14" s="25" t="n">
        <v>1.5</v>
      </c>
      <c r="O14" s="24" t="n">
        <v>0</v>
      </c>
      <c r="P14" s="21" t="s">
        <v>707</v>
      </c>
      <c r="Q14" s="21" t="s">
        <v>708</v>
      </c>
      <c r="R14" s="21" t="s">
        <v>709</v>
      </c>
      <c r="S14" s="21" t="s">
        <v>710</v>
      </c>
      <c r="T14" s="21" t="s">
        <v>711</v>
      </c>
    </row>
    <row r="15" customFormat="false" ht="23.25" hidden="false" customHeight="true" outlineLevel="0" collapsed="false">
      <c r="A15" s="34" t="s">
        <v>712</v>
      </c>
      <c r="B15" s="21" t="s">
        <v>713</v>
      </c>
      <c r="C15" s="21" t="s">
        <v>660</v>
      </c>
      <c r="D15" s="21" t="s">
        <v>706</v>
      </c>
      <c r="E15" s="21" t="s">
        <v>332</v>
      </c>
      <c r="F15" s="18" t="n">
        <v>9000</v>
      </c>
      <c r="G15" s="18" t="n">
        <v>115</v>
      </c>
      <c r="H15" s="18" t="n">
        <v>65</v>
      </c>
      <c r="I15" s="33" t="n">
        <v>108</v>
      </c>
      <c r="J15" s="33" t="n">
        <v>45</v>
      </c>
      <c r="K15" s="24" t="n">
        <v>0.03</v>
      </c>
      <c r="L15" s="24" t="n">
        <v>0</v>
      </c>
      <c r="M15" s="24" t="n">
        <v>0.05</v>
      </c>
      <c r="N15" s="25" t="n">
        <v>1.5</v>
      </c>
      <c r="O15" s="24" t="n">
        <v>0</v>
      </c>
      <c r="P15" s="21" t="s">
        <v>714</v>
      </c>
      <c r="Q15" s="21" t="s">
        <v>715</v>
      </c>
      <c r="R15" s="21" t="s">
        <v>716</v>
      </c>
      <c r="S15" s="21" t="s">
        <v>717</v>
      </c>
      <c r="T15" s="21" t="s">
        <v>718</v>
      </c>
    </row>
    <row r="16" customFormat="false" ht="23.25" hidden="false" customHeight="true" outlineLevel="0" collapsed="false">
      <c r="A16" s="34" t="s">
        <v>719</v>
      </c>
      <c r="B16" s="21" t="s">
        <v>720</v>
      </c>
      <c r="C16" s="21" t="s">
        <v>666</v>
      </c>
      <c r="D16" s="21" t="s">
        <v>706</v>
      </c>
      <c r="E16" s="21" t="s">
        <v>332</v>
      </c>
      <c r="F16" s="18" t="n">
        <v>12000</v>
      </c>
      <c r="G16" s="18" t="n">
        <v>110</v>
      </c>
      <c r="H16" s="18" t="n">
        <v>70</v>
      </c>
      <c r="I16" s="33" t="n">
        <v>110</v>
      </c>
      <c r="J16" s="33" t="n">
        <v>60</v>
      </c>
      <c r="K16" s="24" t="n">
        <v>0.03</v>
      </c>
      <c r="L16" s="24" t="n">
        <v>0</v>
      </c>
      <c r="M16" s="24" t="n">
        <v>0.05</v>
      </c>
      <c r="N16" s="25" t="n">
        <v>1.5</v>
      </c>
      <c r="O16" s="24" t="n">
        <v>0</v>
      </c>
      <c r="P16" s="21" t="s">
        <v>721</v>
      </c>
      <c r="Q16" s="21" t="s">
        <v>722</v>
      </c>
      <c r="R16" s="21" t="s">
        <v>723</v>
      </c>
      <c r="S16" s="21" t="s">
        <v>724</v>
      </c>
      <c r="T16" s="21" t="s">
        <v>725</v>
      </c>
    </row>
  </sheetData>
  <dataValidations count="2">
    <dataValidation allowBlank="true" error="Giá trị này không có trong DANH_MỤC." errorStyle="warning" errorTitle="Ngoài danh sách" operator="between" showDropDown="false" showErrorMessage="true" showInputMessage="false" sqref="C5:C24" type="list">
      <formula1>DANH_MỤC!$M$2:$M$4</formula1>
      <formula2>0</formula2>
    </dataValidation>
    <dataValidation allowBlank="true" error="Giá trị này không có trong DANH_MỤC." errorStyle="warning" errorTitle="Ngoài danh sách" operator="between" showDropDown="false" showErrorMessage="true" showInputMessage="false" sqref="E5:E24" type="list">
      <formula1>DANH_MỤC!$B$2:$B$4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10"/>
    <col collapsed="false" customWidth="true" hidden="false" outlineLevel="0" max="4" min="4" style="1" width="26"/>
    <col collapsed="false" customWidth="true" hidden="false" outlineLevel="0" max="5" min="5" style="1" width="16"/>
    <col collapsed="false" customWidth="true" hidden="false" outlineLevel="0" max="6" min="6" style="1" width="34"/>
    <col collapsed="false" customWidth="true" hidden="false" outlineLevel="0" max="7" min="7" style="1" width="9"/>
    <col collapsed="false" customWidth="true" hidden="false" outlineLevel="0" max="8" min="8" style="1" width="26"/>
    <col collapsed="false" customWidth="true" hidden="false" outlineLevel="0" max="10" min="9" style="1" width="9"/>
    <col collapsed="false" customWidth="true" hidden="false" outlineLevel="0" max="11" min="11" style="1" width="10"/>
    <col collapsed="false" customWidth="true" hidden="false" outlineLevel="0" max="12" min="12" style="1" width="18"/>
    <col collapsed="false" customWidth="true" hidden="false" outlineLevel="0" max="13" min="13" style="1" width="36"/>
  </cols>
  <sheetData>
    <row r="1" customFormat="false" ht="17.25" hidden="false" customHeight="true" outlineLevel="0" collapsed="false">
      <c r="A1" s="2" t="s">
        <v>726</v>
      </c>
    </row>
    <row r="2" customFormat="false" ht="15" hidden="false" customHeight="true" outlineLevel="0" collapsed="false">
      <c r="A2" s="9" t="s">
        <v>727</v>
      </c>
    </row>
    <row r="4" customFormat="false" ht="42" hidden="false" customHeight="true" outlineLevel="0" collapsed="false">
      <c r="A4" s="10" t="s">
        <v>728</v>
      </c>
      <c r="B4" s="10" t="s">
        <v>639</v>
      </c>
      <c r="C4" s="10" t="s">
        <v>510</v>
      </c>
      <c r="D4" s="10" t="s">
        <v>511</v>
      </c>
      <c r="E4" s="10" t="s">
        <v>513</v>
      </c>
      <c r="F4" s="10" t="s">
        <v>514</v>
      </c>
      <c r="G4" s="10" t="s">
        <v>729</v>
      </c>
      <c r="H4" s="10" t="s">
        <v>518</v>
      </c>
      <c r="I4" s="10" t="s">
        <v>730</v>
      </c>
      <c r="J4" s="10" t="s">
        <v>731</v>
      </c>
      <c r="K4" s="10" t="s">
        <v>525</v>
      </c>
      <c r="L4" s="10" t="s">
        <v>526</v>
      </c>
      <c r="M4" s="10" t="s">
        <v>57</v>
      </c>
    </row>
    <row r="5" customFormat="false" ht="23.25" hidden="false" customHeight="true" outlineLevel="0" collapsed="false">
      <c r="A5" s="21" t="s">
        <v>647</v>
      </c>
      <c r="B5" s="22" t="str">
        <f aca="false">IF(A5="","",IFERROR(INDEX(QUÁI_BOSS!$B$5:$B$24,MATCH(A5,QUÁI_BOSS!$A$5:$A$24,0)),"mã không có"))</f>
        <v>Chuột</v>
      </c>
      <c r="C5" s="21" t="s">
        <v>438</v>
      </c>
      <c r="D5" s="21" t="s">
        <v>530</v>
      </c>
      <c r="E5" s="21" t="s">
        <v>541</v>
      </c>
      <c r="F5" s="21" t="s">
        <v>542</v>
      </c>
      <c r="G5" s="21" t="n">
        <v>1</v>
      </c>
      <c r="H5" s="21" t="s">
        <v>543</v>
      </c>
      <c r="I5" s="27" t="n">
        <v>2</v>
      </c>
      <c r="J5" s="21"/>
      <c r="K5" s="21"/>
      <c r="L5" s="21"/>
      <c r="M5" s="21"/>
    </row>
    <row r="6" customFormat="false" ht="15" hidden="false" customHeight="true" outlineLevel="0" collapsed="false">
      <c r="A6" s="21" t="s">
        <v>653</v>
      </c>
      <c r="B6" s="22" t="str">
        <f aca="false">IF(A6="","",IFERROR(INDEX(QUÁI_BOSS!$B$5:$B$24,MATCH(A6,QUÁI_BOSS!$A$5:$A$24,0)),"mã không có"))</f>
        <v>Mèo hoang</v>
      </c>
      <c r="C6" s="21" t="s">
        <v>438</v>
      </c>
      <c r="D6" s="21" t="s">
        <v>530</v>
      </c>
      <c r="E6" s="21" t="s">
        <v>541</v>
      </c>
      <c r="F6" s="21" t="s">
        <v>570</v>
      </c>
      <c r="G6" s="21" t="n">
        <v>1</v>
      </c>
      <c r="H6" s="21" t="s">
        <v>543</v>
      </c>
      <c r="I6" s="27" t="n">
        <v>2</v>
      </c>
      <c r="J6" s="21"/>
      <c r="K6" s="21"/>
      <c r="L6" s="21"/>
      <c r="M6" s="21"/>
    </row>
    <row r="7" customFormat="false" ht="15" hidden="false" customHeight="true" outlineLevel="0" collapsed="false">
      <c r="A7" s="21" t="s">
        <v>658</v>
      </c>
      <c r="B7" s="22" t="str">
        <f aca="false">IF(A7="","",IFERROR(INDEX(QUÁI_BOSS!$B$5:$B$24,MATCH(A7,QUÁI_BOSS!$A$5:$A$24,0)),"mã không có"))</f>
        <v>Thảm mốc</v>
      </c>
      <c r="C7" s="21" t="s">
        <v>438</v>
      </c>
      <c r="D7" s="21" t="s">
        <v>530</v>
      </c>
      <c r="E7" s="21" t="s">
        <v>541</v>
      </c>
      <c r="F7" s="21" t="s">
        <v>555</v>
      </c>
      <c r="G7" s="21" t="n">
        <v>2</v>
      </c>
      <c r="H7" s="21" t="s">
        <v>543</v>
      </c>
      <c r="I7" s="27" t="n">
        <v>0.8</v>
      </c>
      <c r="J7" s="21"/>
      <c r="K7" s="21"/>
      <c r="L7" s="21"/>
      <c r="M7" s="21" t="s">
        <v>732</v>
      </c>
    </row>
    <row r="8" customFormat="false" ht="15" hidden="false" customHeight="true" outlineLevel="0" collapsed="false">
      <c r="A8" s="21" t="s">
        <v>658</v>
      </c>
      <c r="B8" s="22" t="str">
        <f aca="false">IF(A8="","",IFERROR(INDEX(QUÁI_BOSS!$B$5:$B$24,MATCH(A8,QUÁI_BOSS!$A$5:$A$24,0)),"mã không có"))</f>
        <v>Thảm mốc</v>
      </c>
      <c r="C8" s="21" t="s">
        <v>438</v>
      </c>
      <c r="D8" s="21" t="s">
        <v>530</v>
      </c>
      <c r="E8" s="21" t="s">
        <v>537</v>
      </c>
      <c r="F8" s="21" t="s">
        <v>545</v>
      </c>
      <c r="G8" s="21"/>
      <c r="H8" s="21"/>
      <c r="I8" s="21"/>
      <c r="J8" s="25" t="n">
        <v>0.4</v>
      </c>
      <c r="K8" s="21" t="n">
        <v>1</v>
      </c>
      <c r="L8" s="21" t="s">
        <v>557</v>
      </c>
      <c r="M8" s="21" t="s">
        <v>559</v>
      </c>
    </row>
    <row r="9" customFormat="false" ht="15" hidden="false" customHeight="true" outlineLevel="0" collapsed="false">
      <c r="A9" s="21" t="s">
        <v>664</v>
      </c>
      <c r="B9" s="22" t="str">
        <f aca="false">IF(A9="","",IFERROR(INDEX(QUÁI_BOSS!$B$5:$B$24,MATCH(A9,QUÁI_BOSS!$A$5:$A$24,0)),"mã không có"))</f>
        <v>Đại ca mèo</v>
      </c>
      <c r="C9" s="21" t="s">
        <v>438</v>
      </c>
      <c r="D9" s="21" t="s">
        <v>530</v>
      </c>
      <c r="E9" s="21" t="s">
        <v>541</v>
      </c>
      <c r="F9" s="21" t="s">
        <v>555</v>
      </c>
      <c r="G9" s="21" t="n">
        <v>3</v>
      </c>
      <c r="H9" s="21" t="s">
        <v>543</v>
      </c>
      <c r="I9" s="27" t="n">
        <v>1.3</v>
      </c>
      <c r="J9" s="21"/>
      <c r="K9" s="21"/>
      <c r="L9" s="21"/>
      <c r="M9" s="21" t="s">
        <v>732</v>
      </c>
    </row>
    <row r="10" customFormat="false" ht="15" hidden="false" customHeight="true" outlineLevel="0" collapsed="false">
      <c r="A10" s="21" t="s">
        <v>664</v>
      </c>
      <c r="B10" s="22" t="str">
        <f aca="false">IF(A10="","",IFERROR(INDEX(QUÁI_BOSS!$B$5:$B$24,MATCH(A10,QUÁI_BOSS!$A$5:$A$24,0)),"mã không có"))</f>
        <v>Đại ca mèo</v>
      </c>
      <c r="C10" s="21" t="s">
        <v>438</v>
      </c>
      <c r="D10" s="21" t="s">
        <v>530</v>
      </c>
      <c r="E10" s="21" t="s">
        <v>537</v>
      </c>
      <c r="F10" s="21" t="s">
        <v>545</v>
      </c>
      <c r="G10" s="21"/>
      <c r="H10" s="21"/>
      <c r="I10" s="21"/>
      <c r="J10" s="25" t="n">
        <v>0.3</v>
      </c>
      <c r="K10" s="21" t="n">
        <v>1</v>
      </c>
      <c r="L10" s="21" t="s">
        <v>557</v>
      </c>
      <c r="M10" s="21"/>
    </row>
    <row r="11" customFormat="false" ht="15" hidden="false" customHeight="true" outlineLevel="0" collapsed="false">
      <c r="A11" s="21" t="s">
        <v>664</v>
      </c>
      <c r="B11" s="22" t="str">
        <f aca="false">IF(A11="","",IFERROR(INDEX(QUÁI_BOSS!$B$5:$B$24,MATCH(A11,QUÁI_BOSS!$A$5:$A$24,0)),"mã không có"))</f>
        <v>Đại ca mèo</v>
      </c>
      <c r="C11" s="21" t="s">
        <v>444</v>
      </c>
      <c r="D11" s="21" t="s">
        <v>569</v>
      </c>
      <c r="E11" s="21" t="s">
        <v>548</v>
      </c>
      <c r="F11" s="21" t="s">
        <v>567</v>
      </c>
      <c r="G11" s="21"/>
      <c r="H11" s="21" t="s">
        <v>549</v>
      </c>
      <c r="I11" s="33" t="n">
        <v>15</v>
      </c>
      <c r="J11" s="21"/>
      <c r="K11" s="21"/>
      <c r="L11" s="21"/>
      <c r="M11" s="21"/>
    </row>
    <row r="12" customFormat="false" ht="15" hidden="false" customHeight="true" outlineLevel="0" collapsed="false">
      <c r="A12" s="21" t="s">
        <v>672</v>
      </c>
      <c r="B12" s="22" t="str">
        <f aca="false">IF(A12="","",IFERROR(INDEX(QUÁI_BOSS!$B$5:$B$24,MATCH(A12,QUÁI_BOSS!$A$5:$A$24,0)),"mã không có"))</f>
        <v>Khách khó tính</v>
      </c>
      <c r="C12" s="21" t="s">
        <v>438</v>
      </c>
      <c r="D12" s="21" t="s">
        <v>530</v>
      </c>
      <c r="E12" s="21" t="s">
        <v>541</v>
      </c>
      <c r="F12" s="21" t="s">
        <v>555</v>
      </c>
      <c r="G12" s="21" t="n">
        <v>2</v>
      </c>
      <c r="H12" s="21" t="s">
        <v>543</v>
      </c>
      <c r="I12" s="27" t="n">
        <v>1.4</v>
      </c>
      <c r="J12" s="21"/>
      <c r="K12" s="21"/>
      <c r="L12" s="21"/>
      <c r="M12" s="21" t="s">
        <v>732</v>
      </c>
    </row>
    <row r="13" customFormat="false" ht="15" hidden="false" customHeight="true" outlineLevel="0" collapsed="false">
      <c r="A13" s="21" t="s">
        <v>672</v>
      </c>
      <c r="B13" s="22" t="str">
        <f aca="false">IF(A13="","",IFERROR(INDEX(QUÁI_BOSS!$B$5:$B$24,MATCH(A13,QUÁI_BOSS!$A$5:$A$24,0)),"mã không có"))</f>
        <v>Khách khó tính</v>
      </c>
      <c r="C13" s="21" t="s">
        <v>438</v>
      </c>
      <c r="D13" s="21" t="s">
        <v>530</v>
      </c>
      <c r="E13" s="21" t="s">
        <v>572</v>
      </c>
      <c r="F13" s="21" t="s">
        <v>545</v>
      </c>
      <c r="G13" s="21"/>
      <c r="H13" s="21" t="s">
        <v>549</v>
      </c>
      <c r="I13" s="33" t="n">
        <v>25</v>
      </c>
      <c r="J13" s="25" t="n">
        <v>0.6</v>
      </c>
      <c r="K13" s="21"/>
      <c r="L13" s="21"/>
      <c r="M13" s="21"/>
    </row>
    <row r="14" customFormat="false" ht="15" hidden="false" customHeight="true" outlineLevel="0" collapsed="false">
      <c r="A14" s="21" t="s">
        <v>672</v>
      </c>
      <c r="B14" s="22" t="str">
        <f aca="false">IF(A14="","",IFERROR(INDEX(QUÁI_BOSS!$B$5:$B$24,MATCH(A14,QUÁI_BOSS!$A$5:$A$24,0)),"mã không có"))</f>
        <v>Khách khó tính</v>
      </c>
      <c r="C14" s="21" t="s">
        <v>444</v>
      </c>
      <c r="D14" s="21" t="s">
        <v>560</v>
      </c>
      <c r="E14" s="21" t="s">
        <v>129</v>
      </c>
      <c r="F14" s="21" t="s">
        <v>531</v>
      </c>
      <c r="G14" s="21"/>
      <c r="H14" s="21" t="s">
        <v>535</v>
      </c>
      <c r="I14" s="24" t="n">
        <v>0.05</v>
      </c>
      <c r="J14" s="25" t="n">
        <v>0.2</v>
      </c>
      <c r="K14" s="21"/>
      <c r="L14" s="21"/>
      <c r="M14" s="21"/>
    </row>
    <row r="15" customFormat="false" ht="15" hidden="false" customHeight="true" outlineLevel="0" collapsed="false">
      <c r="A15" s="21" t="s">
        <v>680</v>
      </c>
      <c r="B15" s="22" t="str">
        <f aca="false">IF(A15="","",IFERROR(INDEX(QUÁI_BOSS!$B$5:$B$24,MATCH(A15,QUÁI_BOSS!$A$5:$A$24,0)),"mã không có"))</f>
        <v>Trợ lý nam ác</v>
      </c>
      <c r="C15" s="21" t="s">
        <v>438</v>
      </c>
      <c r="D15" s="21" t="s">
        <v>530</v>
      </c>
      <c r="E15" s="21" t="s">
        <v>541</v>
      </c>
      <c r="F15" s="21" t="s">
        <v>570</v>
      </c>
      <c r="G15" s="21" t="n">
        <v>1</v>
      </c>
      <c r="H15" s="21" t="s">
        <v>543</v>
      </c>
      <c r="I15" s="27" t="n">
        <v>1.8</v>
      </c>
      <c r="J15" s="21"/>
      <c r="K15" s="21"/>
      <c r="L15" s="21"/>
      <c r="M15" s="21"/>
    </row>
    <row r="16" customFormat="false" ht="15" hidden="false" customHeight="true" outlineLevel="0" collapsed="false">
      <c r="A16" s="21" t="s">
        <v>680</v>
      </c>
      <c r="B16" s="22" t="str">
        <f aca="false">IF(A16="","",IFERROR(INDEX(QUÁI_BOSS!$B$5:$B$24,MATCH(A16,QUÁI_BOSS!$A$5:$A$24,0)),"mã không có"))</f>
        <v>Trợ lý nam ác</v>
      </c>
      <c r="C16" s="21" t="s">
        <v>438</v>
      </c>
      <c r="D16" s="21" t="s">
        <v>530</v>
      </c>
      <c r="E16" s="21" t="s">
        <v>537</v>
      </c>
      <c r="F16" s="21" t="s">
        <v>545</v>
      </c>
      <c r="G16" s="21"/>
      <c r="H16" s="21"/>
      <c r="I16" s="21"/>
      <c r="J16" s="25" t="n">
        <v>0.15</v>
      </c>
      <c r="K16" s="21" t="n">
        <v>1</v>
      </c>
      <c r="L16" s="21" t="s">
        <v>546</v>
      </c>
      <c r="M16" s="21"/>
    </row>
    <row r="17" customFormat="false" ht="15" hidden="false" customHeight="true" outlineLevel="0" collapsed="false">
      <c r="A17" s="21" t="s">
        <v>685</v>
      </c>
      <c r="B17" s="22" t="str">
        <f aca="false">IF(A17="","",IFERROR(INDEX(QUÁI_BOSS!$B$5:$B$24,MATCH(A17,QUÁI_BOSS!$A$5:$A$24,0)),"mã không có"))</f>
        <v>Trợ lý nữ ác</v>
      </c>
      <c r="C17" s="21" t="s">
        <v>438</v>
      </c>
      <c r="D17" s="21" t="s">
        <v>530</v>
      </c>
      <c r="E17" s="21" t="s">
        <v>541</v>
      </c>
      <c r="F17" s="21" t="s">
        <v>555</v>
      </c>
      <c r="G17" s="21" t="n">
        <v>2</v>
      </c>
      <c r="H17" s="21" t="s">
        <v>543</v>
      </c>
      <c r="I17" s="27" t="n">
        <v>1</v>
      </c>
      <c r="J17" s="21"/>
      <c r="K17" s="21"/>
      <c r="L17" s="21"/>
      <c r="M17" s="21" t="s">
        <v>732</v>
      </c>
    </row>
    <row r="18" customFormat="false" ht="15" hidden="false" customHeight="true" outlineLevel="0" collapsed="false">
      <c r="A18" s="21" t="s">
        <v>685</v>
      </c>
      <c r="B18" s="22" t="str">
        <f aca="false">IF(A18="","",IFERROR(INDEX(QUÁI_BOSS!$B$5:$B$24,MATCH(A18,QUÁI_BOSS!$A$5:$A$24,0)),"mã không có"))</f>
        <v>Trợ lý nữ ác</v>
      </c>
      <c r="C18" s="21" t="s">
        <v>438</v>
      </c>
      <c r="D18" s="21" t="s">
        <v>530</v>
      </c>
      <c r="E18" s="21" t="s">
        <v>572</v>
      </c>
      <c r="F18" s="21" t="s">
        <v>545</v>
      </c>
      <c r="G18" s="21"/>
      <c r="H18" s="21" t="s">
        <v>549</v>
      </c>
      <c r="I18" s="33" t="n">
        <v>30</v>
      </c>
      <c r="J18" s="21"/>
      <c r="K18" s="21"/>
      <c r="L18" s="21"/>
      <c r="M18" s="21"/>
    </row>
    <row r="19" customFormat="false" ht="15" hidden="false" customHeight="true" outlineLevel="0" collapsed="false">
      <c r="A19" s="21" t="s">
        <v>685</v>
      </c>
      <c r="B19" s="22" t="str">
        <f aca="false">IF(A19="","",IFERROR(INDEX(QUÁI_BOSS!$B$5:$B$24,MATCH(A19,QUÁI_BOSS!$A$5:$A$24,0)),"mã không có"))</f>
        <v>Trợ lý nữ ác</v>
      </c>
      <c r="C19" s="21" t="s">
        <v>444</v>
      </c>
      <c r="D19" s="21" t="s">
        <v>569</v>
      </c>
      <c r="E19" s="21" t="s">
        <v>548</v>
      </c>
      <c r="F19" s="21" t="s">
        <v>567</v>
      </c>
      <c r="G19" s="21"/>
      <c r="H19" s="21" t="s">
        <v>549</v>
      </c>
      <c r="I19" s="33" t="n">
        <v>20</v>
      </c>
      <c r="J19" s="21"/>
      <c r="K19" s="21"/>
      <c r="L19" s="21"/>
      <c r="M19" s="21"/>
    </row>
    <row r="20" customFormat="false" ht="23.25" hidden="false" customHeight="true" outlineLevel="0" collapsed="false">
      <c r="A20" s="21" t="s">
        <v>692</v>
      </c>
      <c r="B20" s="22" t="str">
        <f aca="false">IF(A20="","",IFERROR(INDEX(QUÁI_BOSS!$B$5:$B$24,MATCH(A20,QUÁI_BOSS!$A$5:$A$24,0)),"mã không có"))</f>
        <v>Chó dữ</v>
      </c>
      <c r="C20" s="21" t="s">
        <v>438</v>
      </c>
      <c r="D20" s="21" t="s">
        <v>530</v>
      </c>
      <c r="E20" s="21" t="s">
        <v>541</v>
      </c>
      <c r="F20" s="21" t="s">
        <v>542</v>
      </c>
      <c r="G20" s="21" t="n">
        <v>1</v>
      </c>
      <c r="H20" s="21" t="s">
        <v>543</v>
      </c>
      <c r="I20" s="27" t="n">
        <v>2.2</v>
      </c>
      <c r="J20" s="21"/>
      <c r="K20" s="21"/>
      <c r="L20" s="21"/>
      <c r="M20" s="21"/>
    </row>
    <row r="21" customFormat="false" ht="15" hidden="false" customHeight="true" outlineLevel="0" collapsed="false">
      <c r="A21" s="21" t="s">
        <v>692</v>
      </c>
      <c r="B21" s="22" t="str">
        <f aca="false">IF(A21="","",IFERROR(INDEX(QUÁI_BOSS!$B$5:$B$24,MATCH(A21,QUÁI_BOSS!$A$5:$A$24,0)),"mã không có"))</f>
        <v>Chó dữ</v>
      </c>
      <c r="C21" s="21" t="s">
        <v>438</v>
      </c>
      <c r="D21" s="21" t="s">
        <v>530</v>
      </c>
      <c r="E21" s="21" t="s">
        <v>537</v>
      </c>
      <c r="F21" s="21" t="s">
        <v>545</v>
      </c>
      <c r="G21" s="21"/>
      <c r="H21" s="21"/>
      <c r="I21" s="21"/>
      <c r="J21" s="25" t="n">
        <v>0.4</v>
      </c>
      <c r="K21" s="21" t="n">
        <v>1</v>
      </c>
      <c r="L21" s="21" t="s">
        <v>557</v>
      </c>
      <c r="M21" s="21"/>
    </row>
    <row r="22" customFormat="false" ht="15" hidden="false" customHeight="true" outlineLevel="0" collapsed="false">
      <c r="A22" s="21" t="s">
        <v>697</v>
      </c>
      <c r="B22" s="22" t="str">
        <f aca="false">IF(A22="","",IFERROR(INDEX(QUÁI_BOSS!$B$5:$B$24,MATCH(A22,QUÁI_BOSS!$A$5:$A$24,0)),"mã không có"))</f>
        <v>Đối tác dự án lớn</v>
      </c>
      <c r="C22" s="21" t="s">
        <v>438</v>
      </c>
      <c r="D22" s="21" t="s">
        <v>530</v>
      </c>
      <c r="E22" s="21" t="s">
        <v>541</v>
      </c>
      <c r="F22" s="21" t="s">
        <v>555</v>
      </c>
      <c r="G22" s="21" t="n">
        <v>3</v>
      </c>
      <c r="H22" s="21" t="s">
        <v>543</v>
      </c>
      <c r="I22" s="27" t="n">
        <v>1.5</v>
      </c>
      <c r="J22" s="21"/>
      <c r="K22" s="21"/>
      <c r="L22" s="21"/>
      <c r="M22" s="21" t="s">
        <v>732</v>
      </c>
    </row>
    <row r="23" customFormat="false" ht="15" hidden="false" customHeight="true" outlineLevel="0" collapsed="false">
      <c r="A23" s="21" t="s">
        <v>697</v>
      </c>
      <c r="B23" s="22" t="str">
        <f aca="false">IF(A23="","",IFERROR(INDEX(QUÁI_BOSS!$B$5:$B$24,MATCH(A23,QUÁI_BOSS!$A$5:$A$24,0)),"mã không có"))</f>
        <v>Đối tác dự án lớn</v>
      </c>
      <c r="C23" s="21" t="s">
        <v>438</v>
      </c>
      <c r="D23" s="21" t="s">
        <v>530</v>
      </c>
      <c r="E23" s="21" t="s">
        <v>572</v>
      </c>
      <c r="F23" s="21" t="s">
        <v>545</v>
      </c>
      <c r="G23" s="21"/>
      <c r="H23" s="21" t="s">
        <v>549</v>
      </c>
      <c r="I23" s="33" t="n">
        <v>20</v>
      </c>
      <c r="J23" s="21"/>
      <c r="K23" s="21"/>
      <c r="L23" s="21"/>
      <c r="M23" s="21"/>
    </row>
    <row r="24" customFormat="false" ht="15" hidden="false" customHeight="true" outlineLevel="0" collapsed="false">
      <c r="A24" s="21" t="s">
        <v>697</v>
      </c>
      <c r="B24" s="22" t="str">
        <f aca="false">IF(A24="","",IFERROR(INDEX(QUÁI_BOSS!$B$5:$B$24,MATCH(A24,QUÁI_BOSS!$A$5:$A$24,0)),"mã không có"))</f>
        <v>Đối tác dự án lớn</v>
      </c>
      <c r="C24" s="21" t="s">
        <v>444</v>
      </c>
      <c r="D24" s="21" t="s">
        <v>551</v>
      </c>
      <c r="E24" s="21" t="s">
        <v>131</v>
      </c>
      <c r="F24" s="21" t="s">
        <v>531</v>
      </c>
      <c r="G24" s="21"/>
      <c r="H24" s="21" t="s">
        <v>532</v>
      </c>
      <c r="I24" s="24" t="n">
        <v>0.12</v>
      </c>
      <c r="J24" s="21"/>
      <c r="K24" s="21" t="n">
        <v>2</v>
      </c>
      <c r="L24" s="21"/>
      <c r="M24" s="21"/>
    </row>
    <row r="25" customFormat="false" ht="15" hidden="false" customHeight="true" outlineLevel="0" collapsed="false">
      <c r="A25" s="21" t="s">
        <v>704</v>
      </c>
      <c r="B25" s="22" t="str">
        <f aca="false">IF(A25="","",IFERROR(INDEX(QUÁI_BOSS!$B$5:$B$24,MATCH(A25,QUÁI_BOSS!$A$5:$A$24,0)),"mã không có"))</f>
        <v>Bảo vệ</v>
      </c>
      <c r="C25" s="21" t="s">
        <v>438</v>
      </c>
      <c r="D25" s="21" t="s">
        <v>530</v>
      </c>
      <c r="E25" s="21" t="s">
        <v>537</v>
      </c>
      <c r="F25" s="21" t="s">
        <v>531</v>
      </c>
      <c r="G25" s="21"/>
      <c r="H25" s="21"/>
      <c r="I25" s="21"/>
      <c r="J25" s="25" t="n">
        <v>1</v>
      </c>
      <c r="K25" s="21" t="n">
        <v>1</v>
      </c>
      <c r="L25" s="21" t="s">
        <v>146</v>
      </c>
      <c r="M25" s="21"/>
    </row>
    <row r="26" customFormat="false" ht="15" hidden="false" customHeight="true" outlineLevel="0" collapsed="false">
      <c r="A26" s="21" t="s">
        <v>704</v>
      </c>
      <c r="B26" s="22" t="str">
        <f aca="false">IF(A26="","",IFERROR(INDEX(QUÁI_BOSS!$B$5:$B$24,MATCH(A26,QUÁI_BOSS!$A$5:$A$24,0)),"mã không có"))</f>
        <v>Bảo vệ</v>
      </c>
      <c r="C26" s="21" t="s">
        <v>438</v>
      </c>
      <c r="D26" s="21" t="s">
        <v>530</v>
      </c>
      <c r="E26" s="21" t="s">
        <v>131</v>
      </c>
      <c r="F26" s="21" t="s">
        <v>531</v>
      </c>
      <c r="G26" s="21"/>
      <c r="H26" s="21" t="s">
        <v>532</v>
      </c>
      <c r="I26" s="24" t="n">
        <v>0.1</v>
      </c>
      <c r="J26" s="21"/>
      <c r="K26" s="21" t="n">
        <v>2</v>
      </c>
      <c r="L26" s="21"/>
      <c r="M26" s="21"/>
    </row>
    <row r="27" customFormat="false" ht="15" hidden="false" customHeight="true" outlineLevel="0" collapsed="false">
      <c r="A27" s="21" t="s">
        <v>704</v>
      </c>
      <c r="B27" s="22" t="str">
        <f aca="false">IF(A27="","",IFERROR(INDEX(QUÁI_BOSS!$B$5:$B$24,MATCH(A27,QUÁI_BOSS!$A$5:$A$24,0)),"mã không có"))</f>
        <v>Bảo vệ</v>
      </c>
      <c r="C27" s="21" t="s">
        <v>444</v>
      </c>
      <c r="D27" s="21" t="s">
        <v>534</v>
      </c>
      <c r="E27" s="21" t="s">
        <v>539</v>
      </c>
      <c r="F27" s="21" t="s">
        <v>531</v>
      </c>
      <c r="G27" s="21"/>
      <c r="H27" s="21" t="s">
        <v>540</v>
      </c>
      <c r="I27" s="24" t="n">
        <v>0.1</v>
      </c>
      <c r="J27" s="21"/>
      <c r="K27" s="21"/>
      <c r="L27" s="21"/>
      <c r="M27" s="21"/>
    </row>
    <row r="28" customFormat="false" ht="15" hidden="false" customHeight="true" outlineLevel="0" collapsed="false">
      <c r="A28" s="21" t="s">
        <v>712</v>
      </c>
      <c r="B28" s="22" t="str">
        <f aca="false">IF(A28="","",IFERROR(INDEX(QUÁI_BOSS!$B$5:$B$24,MATCH(A28,QUÁI_BOSS!$A$5:$A$24,0)),"mã không có"))</f>
        <v>Siêu đối tác dự án</v>
      </c>
      <c r="C28" s="21" t="s">
        <v>438</v>
      </c>
      <c r="D28" s="21" t="s">
        <v>530</v>
      </c>
      <c r="E28" s="21" t="s">
        <v>541</v>
      </c>
      <c r="F28" s="21" t="s">
        <v>555</v>
      </c>
      <c r="G28" s="21" t="n">
        <v>3</v>
      </c>
      <c r="H28" s="21" t="s">
        <v>543</v>
      </c>
      <c r="I28" s="27" t="n">
        <v>1.3</v>
      </c>
      <c r="J28" s="21"/>
      <c r="K28" s="21"/>
      <c r="L28" s="21"/>
      <c r="M28" s="21" t="s">
        <v>732</v>
      </c>
    </row>
    <row r="29" customFormat="false" ht="15" hidden="false" customHeight="true" outlineLevel="0" collapsed="false">
      <c r="A29" s="21" t="s">
        <v>712</v>
      </c>
      <c r="B29" s="22" t="str">
        <f aca="false">IF(A29="","",IFERROR(INDEX(QUÁI_BOSS!$B$5:$B$24,MATCH(A29,QUÁI_BOSS!$A$5:$A$24,0)),"mã không có"))</f>
        <v>Siêu đối tác dự án</v>
      </c>
      <c r="C29" s="21" t="s">
        <v>438</v>
      </c>
      <c r="D29" s="21" t="s">
        <v>530</v>
      </c>
      <c r="E29" s="21" t="s">
        <v>537</v>
      </c>
      <c r="F29" s="21" t="s">
        <v>545</v>
      </c>
      <c r="G29" s="21"/>
      <c r="H29" s="21"/>
      <c r="I29" s="21"/>
      <c r="J29" s="25" t="n">
        <v>0.2</v>
      </c>
      <c r="K29" s="21" t="n">
        <v>1</v>
      </c>
      <c r="L29" s="21" t="s">
        <v>255</v>
      </c>
      <c r="M29" s="21" t="s">
        <v>559</v>
      </c>
    </row>
    <row r="30" customFormat="false" ht="15" hidden="false" customHeight="true" outlineLevel="0" collapsed="false">
      <c r="A30" s="21" t="s">
        <v>712</v>
      </c>
      <c r="B30" s="22" t="str">
        <f aca="false">IF(A30="","",IFERROR(INDEX(QUÁI_BOSS!$B$5:$B$24,MATCH(A30,QUÁI_BOSS!$A$5:$A$24,0)),"mã không có"))</f>
        <v>Siêu đối tác dự án</v>
      </c>
      <c r="C30" s="21" t="s">
        <v>444</v>
      </c>
      <c r="D30" s="21" t="s">
        <v>551</v>
      </c>
      <c r="E30" s="21" t="s">
        <v>131</v>
      </c>
      <c r="F30" s="21" t="s">
        <v>531</v>
      </c>
      <c r="G30" s="21"/>
      <c r="H30" s="21" t="s">
        <v>532</v>
      </c>
      <c r="I30" s="24" t="n">
        <v>0.1</v>
      </c>
      <c r="J30" s="21"/>
      <c r="K30" s="21" t="n">
        <v>2</v>
      </c>
      <c r="L30" s="21"/>
      <c r="M30" s="21"/>
    </row>
    <row r="31" customFormat="false" ht="15" hidden="false" customHeight="true" outlineLevel="0" collapsed="false">
      <c r="A31" s="21" t="s">
        <v>719</v>
      </c>
      <c r="B31" s="22" t="str">
        <f aca="false">IF(A31="","",IFERROR(INDEX(QUÁI_BOSS!$B$5:$B$24,MATCH(A31,QUÁI_BOSS!$A$5:$A$24,0)),"mã không có"))</f>
        <v>Siêu giám đốc khó tính</v>
      </c>
      <c r="C31" s="21" t="s">
        <v>438</v>
      </c>
      <c r="D31" s="21" t="s">
        <v>530</v>
      </c>
      <c r="E31" s="21" t="s">
        <v>541</v>
      </c>
      <c r="F31" s="21" t="s">
        <v>555</v>
      </c>
      <c r="G31" s="21" t="n">
        <v>3</v>
      </c>
      <c r="H31" s="21" t="s">
        <v>543</v>
      </c>
      <c r="I31" s="27" t="n">
        <v>1.2</v>
      </c>
      <c r="J31" s="21"/>
      <c r="K31" s="21"/>
      <c r="L31" s="21"/>
      <c r="M31" s="21" t="s">
        <v>732</v>
      </c>
    </row>
    <row r="32" customFormat="false" ht="15" hidden="false" customHeight="true" outlineLevel="0" collapsed="false">
      <c r="A32" s="21" t="s">
        <v>719</v>
      </c>
      <c r="B32" s="22" t="str">
        <f aca="false">IF(A32="","",IFERROR(INDEX(QUÁI_BOSS!$B$5:$B$24,MATCH(A32,QUÁI_BOSS!$A$5:$A$24,0)),"mã không có"))</f>
        <v>Siêu giám đốc khó tính</v>
      </c>
      <c r="C32" s="21" t="s">
        <v>438</v>
      </c>
      <c r="D32" s="21" t="s">
        <v>530</v>
      </c>
      <c r="E32" s="21" t="s">
        <v>537</v>
      </c>
      <c r="F32" s="21" t="s">
        <v>545</v>
      </c>
      <c r="G32" s="21"/>
      <c r="H32" s="21"/>
      <c r="I32" s="21"/>
      <c r="J32" s="25" t="n">
        <v>0.25</v>
      </c>
      <c r="K32" s="21" t="n">
        <v>1</v>
      </c>
      <c r="L32" s="21" t="s">
        <v>255</v>
      </c>
      <c r="M32" s="21" t="s">
        <v>559</v>
      </c>
    </row>
    <row r="33" customFormat="false" ht="15" hidden="false" customHeight="true" outlineLevel="0" collapsed="false">
      <c r="A33" s="21" t="s">
        <v>719</v>
      </c>
      <c r="B33" s="22" t="str">
        <f aca="false">IF(A33="","",IFERROR(INDEX(QUÁI_BOSS!$B$5:$B$24,MATCH(A33,QUÁI_BOSS!$A$5:$A$24,0)),"mã không có"))</f>
        <v>Siêu giám đốc khó tính</v>
      </c>
      <c r="C33" s="21" t="s">
        <v>438</v>
      </c>
      <c r="D33" s="21" t="s">
        <v>530</v>
      </c>
      <c r="E33" s="21" t="s">
        <v>572</v>
      </c>
      <c r="F33" s="21" t="s">
        <v>545</v>
      </c>
      <c r="G33" s="21"/>
      <c r="H33" s="21" t="s">
        <v>549</v>
      </c>
      <c r="I33" s="33" t="n">
        <v>20</v>
      </c>
      <c r="J33" s="21"/>
      <c r="K33" s="21"/>
      <c r="L33" s="21"/>
      <c r="M33" s="21"/>
    </row>
    <row r="34" customFormat="false" ht="15" hidden="false" customHeight="true" outlineLevel="0" collapsed="false">
      <c r="A34" s="21" t="s">
        <v>719</v>
      </c>
      <c r="B34" s="22" t="str">
        <f aca="false">IF(A34="","",IFERROR(INDEX(QUÁI_BOSS!$B$5:$B$24,MATCH(A34,QUÁI_BOSS!$A$5:$A$24,0)),"mã không có"))</f>
        <v>Siêu giám đốc khó tính</v>
      </c>
      <c r="C34" s="21" t="s">
        <v>444</v>
      </c>
      <c r="D34" s="21" t="s">
        <v>569</v>
      </c>
      <c r="E34" s="21" t="s">
        <v>548</v>
      </c>
      <c r="F34" s="21" t="s">
        <v>567</v>
      </c>
      <c r="G34" s="21"/>
      <c r="H34" s="21" t="s">
        <v>549</v>
      </c>
      <c r="I34" s="33" t="n">
        <v>20</v>
      </c>
      <c r="J34" s="21"/>
      <c r="K34" s="21"/>
      <c r="L34" s="21"/>
      <c r="M34" s="21"/>
    </row>
    <row r="35" customFormat="false" ht="15" hidden="false" customHeight="true" outlineLevel="0" collapsed="false">
      <c r="A35" s="21" t="s">
        <v>719</v>
      </c>
      <c r="B35" s="22" t="str">
        <f aca="false">IF(A35="","",IFERROR(INDEX(QUÁI_BOSS!$B$5:$B$24,MATCH(A35,QUÁI_BOSS!$A$5:$A$24,0)),"mã không có"))</f>
        <v>Siêu giám đốc khó tính</v>
      </c>
      <c r="C35" s="21" t="s">
        <v>444</v>
      </c>
      <c r="D35" s="21" t="s">
        <v>551</v>
      </c>
      <c r="E35" s="21" t="s">
        <v>131</v>
      </c>
      <c r="F35" s="21" t="s">
        <v>531</v>
      </c>
      <c r="G35" s="21"/>
      <c r="H35" s="21" t="s">
        <v>532</v>
      </c>
      <c r="I35" s="24" t="n">
        <v>0.1</v>
      </c>
      <c r="J35" s="21"/>
      <c r="K35" s="21" t="n">
        <v>2</v>
      </c>
      <c r="L35" s="21"/>
      <c r="M35" s="21"/>
    </row>
    <row r="36" customFormat="false" ht="15" hidden="false" customHeight="true" outlineLevel="0" collapsed="false">
      <c r="A36" s="21"/>
      <c r="B36" s="22" t="str">
        <f aca="false">IF(A36="","",IFERROR(INDEX(QUÁI_BOSS!$B$5:$B$24,MATCH(A36,QUÁI_BOSS!$A$5:$A$24,0)),"mã không có"))</f>
        <v/>
      </c>
      <c r="C36" s="21"/>
      <c r="D36" s="21"/>
      <c r="E36" s="21"/>
      <c r="F36" s="21"/>
      <c r="G36" s="21"/>
      <c r="H36" s="21"/>
      <c r="I36" s="21"/>
      <c r="J36" s="21"/>
      <c r="K36" s="21"/>
      <c r="L36" s="21"/>
      <c r="M36" s="21"/>
    </row>
    <row r="37" customFormat="false" ht="15" hidden="false" customHeight="true" outlineLevel="0" collapsed="false">
      <c r="A37" s="21"/>
      <c r="B37" s="22" t="str">
        <f aca="false">IF(A37="","",IFERROR(INDEX(QUÁI_BOSS!$B$5:$B$24,MATCH(A37,QUÁI_BOSS!$A$5:$A$24,0)),"mã không có"))</f>
        <v/>
      </c>
      <c r="C37" s="21"/>
      <c r="D37" s="21"/>
      <c r="E37" s="21"/>
      <c r="F37" s="21"/>
      <c r="G37" s="21"/>
      <c r="H37" s="21"/>
      <c r="I37" s="21"/>
      <c r="J37" s="21"/>
      <c r="K37" s="21"/>
      <c r="L37" s="21"/>
      <c r="M37" s="21"/>
    </row>
    <row r="38" customFormat="false" ht="15" hidden="false" customHeight="true" outlineLevel="0" collapsed="false">
      <c r="A38" s="21"/>
      <c r="B38" s="22" t="str">
        <f aca="false">IF(A38="","",IFERROR(INDEX(QUÁI_BOSS!$B$5:$B$24,MATCH(A38,QUÁI_BOSS!$A$5:$A$24,0)),"mã không có"))</f>
        <v/>
      </c>
      <c r="C38" s="21"/>
      <c r="D38" s="21"/>
      <c r="E38" s="21"/>
      <c r="F38" s="21"/>
      <c r="G38" s="21"/>
      <c r="H38" s="21"/>
      <c r="I38" s="21"/>
      <c r="J38" s="21"/>
      <c r="K38" s="21"/>
      <c r="L38" s="21"/>
      <c r="M38" s="21"/>
    </row>
    <row r="39" customFormat="false" ht="15" hidden="false" customHeight="true" outlineLevel="0" collapsed="false">
      <c r="A39" s="21"/>
      <c r="B39" s="22" t="str">
        <f aca="false">IF(A39="","",IFERROR(INDEX(QUÁI_BOSS!$B$5:$B$24,MATCH(A39,QUÁI_BOSS!$A$5:$A$24,0)),"mã không có"))</f>
        <v/>
      </c>
      <c r="C39" s="21"/>
      <c r="D39" s="21"/>
      <c r="E39" s="21"/>
      <c r="F39" s="21"/>
      <c r="G39" s="21"/>
      <c r="H39" s="21"/>
      <c r="I39" s="21"/>
      <c r="J39" s="21"/>
      <c r="K39" s="21"/>
      <c r="L39" s="21"/>
      <c r="M39" s="21"/>
    </row>
    <row r="40" customFormat="false" ht="15" hidden="false" customHeight="true" outlineLevel="0" collapsed="false">
      <c r="A40" s="21"/>
      <c r="B40" s="22" t="str">
        <f aca="false">IF(A40="","",IFERROR(INDEX(QUÁI_BOSS!$B$5:$B$24,MATCH(A40,QUÁI_BOSS!$A$5:$A$24,0)),"mã không có"))</f>
        <v/>
      </c>
      <c r="C40" s="21"/>
      <c r="D40" s="21"/>
      <c r="E40" s="21"/>
      <c r="F40" s="21"/>
      <c r="G40" s="21"/>
      <c r="H40" s="21"/>
      <c r="I40" s="21"/>
      <c r="J40" s="21"/>
      <c r="K40" s="21"/>
      <c r="L40" s="21"/>
      <c r="M40" s="21"/>
    </row>
    <row r="41" customFormat="false" ht="15" hidden="false" customHeight="true" outlineLevel="0" collapsed="false">
      <c r="A41" s="21"/>
      <c r="B41" s="22" t="str">
        <f aca="false">IF(A41="","",IFERROR(INDEX(QUÁI_BOSS!$B$5:$B$24,MATCH(A41,QUÁI_BOSS!$A$5:$A$24,0)),"mã không có"))</f>
        <v/>
      </c>
      <c r="C41" s="21"/>
      <c r="D41" s="21"/>
      <c r="E41" s="21"/>
      <c r="F41" s="21"/>
      <c r="G41" s="21"/>
      <c r="H41" s="21"/>
      <c r="I41" s="21"/>
      <c r="J41" s="21"/>
      <c r="K41" s="21"/>
      <c r="L41" s="21"/>
      <c r="M41" s="21"/>
    </row>
    <row r="42" customFormat="false" ht="15" hidden="false" customHeight="true" outlineLevel="0" collapsed="false">
      <c r="A42" s="21"/>
      <c r="B42" s="22" t="str">
        <f aca="false">IF(A42="","",IFERROR(INDEX(QUÁI_BOSS!$B$5:$B$24,MATCH(A42,QUÁI_BOSS!$A$5:$A$24,0)),"mã không có"))</f>
        <v/>
      </c>
      <c r="C42" s="21"/>
      <c r="D42" s="21"/>
      <c r="E42" s="21"/>
      <c r="F42" s="21"/>
      <c r="G42" s="21"/>
      <c r="H42" s="21"/>
      <c r="I42" s="21"/>
      <c r="J42" s="21"/>
      <c r="K42" s="21"/>
      <c r="L42" s="21"/>
      <c r="M42" s="21"/>
    </row>
    <row r="43" customFormat="false" ht="15" hidden="false" customHeight="true" outlineLevel="0" collapsed="false">
      <c r="A43" s="21"/>
      <c r="B43" s="22" t="str">
        <f aca="false">IF(A43="","",IFERROR(INDEX(QUÁI_BOSS!$B$5:$B$24,MATCH(A43,QUÁI_BOSS!$A$5:$A$24,0)),"mã không có"))</f>
        <v/>
      </c>
      <c r="C43" s="21"/>
      <c r="D43" s="21"/>
      <c r="E43" s="21"/>
      <c r="F43" s="21"/>
      <c r="G43" s="21"/>
      <c r="H43" s="21"/>
      <c r="I43" s="21"/>
      <c r="J43" s="21"/>
      <c r="K43" s="21"/>
      <c r="L43" s="21"/>
      <c r="M43" s="21"/>
    </row>
    <row r="44" customFormat="false" ht="15" hidden="false" customHeight="true" outlineLevel="0" collapsed="false">
      <c r="A44" s="21"/>
      <c r="B44" s="22" t="str">
        <f aca="false">IF(A44="","",IFERROR(INDEX(QUÁI_BOSS!$B$5:$B$24,MATCH(A44,QUÁI_BOSS!$A$5:$A$24,0)),"mã không có"))</f>
        <v/>
      </c>
      <c r="C44" s="21"/>
      <c r="D44" s="21"/>
      <c r="E44" s="21"/>
      <c r="F44" s="21"/>
      <c r="G44" s="21"/>
      <c r="H44" s="21"/>
      <c r="I44" s="21"/>
      <c r="J44" s="21"/>
      <c r="K44" s="21"/>
      <c r="L44" s="21"/>
      <c r="M44" s="21"/>
    </row>
    <row r="45" customFormat="false" ht="15" hidden="false" customHeight="true" outlineLevel="0" collapsed="false">
      <c r="A45" s="21"/>
      <c r="B45" s="22" t="str">
        <f aca="false">IF(A45="","",IFERROR(INDEX(QUÁI_BOSS!$B$5:$B$24,MATCH(A45,QUÁI_BOSS!$A$5:$A$24,0)),"mã không có"))</f>
        <v/>
      </c>
      <c r="C45" s="21"/>
      <c r="D45" s="21"/>
      <c r="E45" s="21"/>
      <c r="F45" s="21"/>
      <c r="G45" s="21"/>
      <c r="H45" s="21"/>
      <c r="I45" s="21"/>
      <c r="J45" s="21"/>
      <c r="K45" s="21"/>
      <c r="L45" s="21"/>
      <c r="M45" s="21"/>
    </row>
    <row r="46" customFormat="false" ht="15" hidden="false" customHeight="true" outlineLevel="0" collapsed="false">
      <c r="A46" s="21"/>
      <c r="B46" s="22" t="str">
        <f aca="false">IF(A46="","",IFERROR(INDEX(QUÁI_BOSS!$B$5:$B$24,MATCH(A46,QUÁI_BOSS!$A$5:$A$24,0)),"mã không có"))</f>
        <v/>
      </c>
      <c r="C46" s="21"/>
      <c r="D46" s="21"/>
      <c r="E46" s="21"/>
      <c r="F46" s="21"/>
      <c r="G46" s="21"/>
      <c r="H46" s="21"/>
      <c r="I46" s="21"/>
      <c r="J46" s="21"/>
      <c r="K46" s="21"/>
      <c r="L46" s="21"/>
      <c r="M46" s="21"/>
    </row>
    <row r="47" customFormat="false" ht="15" hidden="false" customHeight="true" outlineLevel="0" collapsed="false">
      <c r="A47" s="21"/>
      <c r="B47" s="22" t="str">
        <f aca="false">IF(A47="","",IFERROR(INDEX(QUÁI_BOSS!$B$5:$B$24,MATCH(A47,QUÁI_BOSS!$A$5:$A$24,0)),"mã không có"))</f>
        <v/>
      </c>
      <c r="C47" s="21"/>
      <c r="D47" s="21"/>
      <c r="E47" s="21"/>
      <c r="F47" s="21"/>
      <c r="G47" s="21"/>
      <c r="H47" s="21"/>
      <c r="I47" s="21"/>
      <c r="J47" s="21"/>
      <c r="K47" s="21"/>
      <c r="L47" s="21"/>
      <c r="M47" s="21"/>
    </row>
    <row r="48" customFormat="false" ht="15" hidden="false" customHeight="true" outlineLevel="0" collapsed="false">
      <c r="A48" s="21"/>
      <c r="B48" s="22" t="str">
        <f aca="false">IF(A48="","",IFERROR(INDEX(QUÁI_BOSS!$B$5:$B$24,MATCH(A48,QUÁI_BOSS!$A$5:$A$24,0)),"mã không có"))</f>
        <v/>
      </c>
      <c r="C48" s="21"/>
      <c r="D48" s="21"/>
      <c r="E48" s="21"/>
      <c r="F48" s="21"/>
      <c r="G48" s="21"/>
      <c r="H48" s="21"/>
      <c r="I48" s="21"/>
      <c r="J48" s="21"/>
      <c r="K48" s="21"/>
      <c r="L48" s="21"/>
      <c r="M48" s="21"/>
    </row>
    <row r="49" customFormat="false" ht="15" hidden="false" customHeight="true" outlineLevel="0" collapsed="false">
      <c r="A49" s="21"/>
      <c r="B49" s="22" t="str">
        <f aca="false">IF(A49="","",IFERROR(INDEX(QUÁI_BOSS!$B$5:$B$24,MATCH(A49,QUÁI_BOSS!$A$5:$A$24,0)),"mã không có"))</f>
        <v/>
      </c>
      <c r="C49" s="21"/>
      <c r="D49" s="21"/>
      <c r="E49" s="21"/>
      <c r="F49" s="21"/>
      <c r="G49" s="21"/>
      <c r="H49" s="21"/>
      <c r="I49" s="21"/>
      <c r="J49" s="21"/>
      <c r="K49" s="21"/>
      <c r="L49" s="21"/>
      <c r="M49" s="21"/>
    </row>
    <row r="50" customFormat="false" ht="15" hidden="false" customHeight="true" outlineLevel="0" collapsed="false">
      <c r="A50" s="21"/>
      <c r="B50" s="22" t="str">
        <f aca="false">IF(A50="","",IFERROR(INDEX(QUÁI_BOSS!$B$5:$B$24,MATCH(A50,QUÁI_BOSS!$A$5:$A$24,0)),"mã không có"))</f>
        <v/>
      </c>
      <c r="C50" s="21"/>
      <c r="D50" s="21"/>
      <c r="E50" s="21"/>
      <c r="F50" s="21"/>
      <c r="G50" s="21"/>
      <c r="H50" s="21"/>
      <c r="I50" s="21"/>
      <c r="J50" s="21"/>
      <c r="K50" s="21"/>
      <c r="L50" s="21"/>
      <c r="M50" s="21"/>
    </row>
    <row r="51" customFormat="false" ht="15" hidden="false" customHeight="true" outlineLevel="0" collapsed="false">
      <c r="A51" s="21"/>
      <c r="B51" s="22" t="str">
        <f aca="false">IF(A51="","",IFERROR(INDEX(QUÁI_BOSS!$B$5:$B$24,MATCH(A51,QUÁI_BOSS!$A$5:$A$24,0)),"mã không có"))</f>
        <v/>
      </c>
      <c r="C51" s="21"/>
      <c r="D51" s="21"/>
      <c r="E51" s="21"/>
      <c r="F51" s="21"/>
      <c r="G51" s="21"/>
      <c r="H51" s="21"/>
      <c r="I51" s="21"/>
      <c r="J51" s="21"/>
      <c r="K51" s="21"/>
      <c r="L51" s="21"/>
      <c r="M51" s="21"/>
    </row>
    <row r="52" customFormat="false" ht="15" hidden="false" customHeight="true" outlineLevel="0" collapsed="false">
      <c r="A52" s="21"/>
      <c r="B52" s="22" t="str">
        <f aca="false">IF(A52="","",IFERROR(INDEX(QUÁI_BOSS!$B$5:$B$24,MATCH(A52,QUÁI_BOSS!$A$5:$A$24,0)),"mã không có"))</f>
        <v/>
      </c>
      <c r="C52" s="21"/>
      <c r="D52" s="21"/>
      <c r="E52" s="21"/>
      <c r="F52" s="21"/>
      <c r="G52" s="21"/>
      <c r="H52" s="21"/>
      <c r="I52" s="21"/>
      <c r="J52" s="21"/>
      <c r="K52" s="21"/>
      <c r="L52" s="21"/>
      <c r="M52" s="21"/>
    </row>
    <row r="53" customFormat="false" ht="15" hidden="false" customHeight="true" outlineLevel="0" collapsed="false">
      <c r="A53" s="21"/>
      <c r="B53" s="22" t="str">
        <f aca="false">IF(A53="","",IFERROR(INDEX(QUÁI_BOSS!$B$5:$B$24,MATCH(A53,QUÁI_BOSS!$A$5:$A$24,0)),"mã không có"))</f>
        <v/>
      </c>
      <c r="C53" s="21"/>
      <c r="D53" s="21"/>
      <c r="E53" s="21"/>
      <c r="F53" s="21"/>
      <c r="G53" s="21"/>
      <c r="H53" s="21"/>
      <c r="I53" s="21"/>
      <c r="J53" s="21"/>
      <c r="K53" s="21"/>
      <c r="L53" s="21"/>
      <c r="M53" s="21"/>
    </row>
    <row r="54" customFormat="false" ht="15" hidden="false" customHeight="true" outlineLevel="0" collapsed="false">
      <c r="A54" s="21"/>
      <c r="B54" s="22" t="str">
        <f aca="false">IF(A54="","",IFERROR(INDEX(QUÁI_BOSS!$B$5:$B$24,MATCH(A54,QUÁI_BOSS!$A$5:$A$24,0)),"mã không có"))</f>
        <v/>
      </c>
      <c r="C54" s="21"/>
      <c r="D54" s="21"/>
      <c r="E54" s="21"/>
      <c r="F54" s="21"/>
      <c r="G54" s="21"/>
      <c r="H54" s="21"/>
      <c r="I54" s="21"/>
      <c r="J54" s="21"/>
      <c r="K54" s="21"/>
      <c r="L54" s="21"/>
      <c r="M54" s="21"/>
    </row>
  </sheetData>
  <dataValidations count="6">
    <dataValidation allowBlank="true" error="Giá trị này không có trong DANH_MỤC." errorStyle="warning" errorTitle="Ngoài danh sách" operator="between" showDropDown="false" showErrorMessage="true" showInputMessage="false" sqref="C5:C54" type="list">
      <formula1>DANH_MỤC!$L$2:$L$3</formula1>
      <formula2>0</formula2>
    </dataValidation>
    <dataValidation allowBlank="true" error="Giá trị này không có trong DANH_MỤC." errorStyle="warning" errorTitle="Ngoài danh sách" operator="between" showDropDown="false" showErrorMessage="true" showInputMessage="false" sqref="D5:D54" type="list">
      <formula1>DANH_MỤC!$G$2:$G$16</formula1>
      <formula2>0</formula2>
    </dataValidation>
    <dataValidation allowBlank="true" error="Giá trị này không có trong DANH_MỤC." errorStyle="warning" errorTitle="Ngoài danh sách" operator="between" showDropDown="false" showErrorMessage="true" showInputMessage="false" sqref="E5:E54" type="list">
      <formula1>DANH_MỤC!$C$2:$C$12</formula1>
      <formula2>0</formula2>
    </dataValidation>
    <dataValidation allowBlank="true" error="Giá trị này không có trong DANH_MỤC." errorStyle="warning" errorTitle="Ngoài danh sách" operator="between" showDropDown="false" showErrorMessage="true" showInputMessage="false" sqref="F5:F54" type="list">
      <formula1>DANH_MỤC!$D$2:$D$16</formula1>
      <formula2>0</formula2>
    </dataValidation>
    <dataValidation allowBlank="true" error="Giá trị này không có trong DANH_MỤC." errorStyle="warning" errorTitle="Ngoài danh sách" operator="between" showDropDown="false" showErrorMessage="true" showInputMessage="false" sqref="H5:H54" type="list">
      <formula1>DANH_MỤC!$E$2:$E$11</formula1>
      <formula2>0</formula2>
    </dataValidation>
    <dataValidation allowBlank="true" error="Giá trị này không có trong DANH_MỤC." errorStyle="warning" errorTitle="Ngoài danh sách" operator="between" showDropDown="false" showErrorMessage="true" showInputMessage="false" sqref="L5:L54" type="list">
      <formula1>HIỆU_ỨNG!$A$5:$A$44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6"/>
    <col collapsed="false" customWidth="true" hidden="false" outlineLevel="0" max="4" min="3" style="1" width="26"/>
    <col collapsed="false" customWidth="true" hidden="false" outlineLevel="0" max="5" min="5" style="1" width="34"/>
    <col collapsed="false" customWidth="true" hidden="false" outlineLevel="0" max="8" min="6" style="1" width="10"/>
    <col collapsed="false" customWidth="true" hidden="false" outlineLevel="0" max="9" min="9" style="1" width="14"/>
    <col collapsed="false" customWidth="true" hidden="false" outlineLevel="0" max="10" min="10" style="1" width="12"/>
    <col collapsed="false" customWidth="true" hidden="false" outlineLevel="0" max="11" min="11" style="1" width="9"/>
    <col collapsed="false" customWidth="true" hidden="false" outlineLevel="0" max="12" min="12" style="1" width="14"/>
    <col collapsed="false" customWidth="true" hidden="false" outlineLevel="0" max="13" min="13" style="1" width="36"/>
  </cols>
  <sheetData>
    <row r="1" customFormat="false" ht="17.25" hidden="false" customHeight="true" outlineLevel="0" collapsed="false">
      <c r="A1" s="2" t="s">
        <v>733</v>
      </c>
    </row>
    <row r="2" customFormat="false" ht="15" hidden="false" customHeight="true" outlineLevel="0" collapsed="false">
      <c r="A2" s="9" t="s">
        <v>734</v>
      </c>
    </row>
    <row r="4" customFormat="false" ht="42" hidden="false" customHeight="true" outlineLevel="0" collapsed="false">
      <c r="A4" s="10" t="s">
        <v>640</v>
      </c>
      <c r="B4" s="10" t="s">
        <v>735</v>
      </c>
      <c r="C4" s="10" t="s">
        <v>736</v>
      </c>
      <c r="D4" s="10" t="s">
        <v>269</v>
      </c>
      <c r="E4" s="10" t="s">
        <v>737</v>
      </c>
      <c r="F4" s="10" t="s">
        <v>738</v>
      </c>
      <c r="G4" s="10" t="s">
        <v>739</v>
      </c>
      <c r="H4" s="10" t="s">
        <v>740</v>
      </c>
      <c r="I4" s="10" t="s">
        <v>741</v>
      </c>
      <c r="J4" s="10" t="s">
        <v>742</v>
      </c>
      <c r="K4" s="10" t="s">
        <v>743</v>
      </c>
      <c r="L4" s="10" t="s">
        <v>744</v>
      </c>
      <c r="M4" s="10" t="s">
        <v>57</v>
      </c>
    </row>
    <row r="5" customFormat="false" ht="15" hidden="false" customHeight="true" outlineLevel="0" collapsed="false">
      <c r="A5" s="34" t="n">
        <v>1</v>
      </c>
      <c r="B5" s="21" t="n">
        <v>1</v>
      </c>
      <c r="C5" s="21" t="s">
        <v>745</v>
      </c>
      <c r="D5" s="21" t="s">
        <v>746</v>
      </c>
      <c r="E5" s="21" t="s">
        <v>747</v>
      </c>
      <c r="F5" s="21" t="s">
        <v>649</v>
      </c>
      <c r="G5" s="20" t="n">
        <v>1.46</v>
      </c>
      <c r="H5" s="20" t="n">
        <v>1.28</v>
      </c>
      <c r="I5" s="21" t="n">
        <v>2</v>
      </c>
      <c r="J5" s="25" t="n">
        <v>0.97</v>
      </c>
      <c r="K5" s="23" t="n">
        <v>10.8</v>
      </c>
      <c r="L5" s="21" t="s">
        <v>748</v>
      </c>
      <c r="M5" s="21" t="s">
        <v>749</v>
      </c>
    </row>
    <row r="6" customFormat="false" ht="15" hidden="false" customHeight="true" outlineLevel="0" collapsed="false">
      <c r="A6" s="34" t="n">
        <v>1</v>
      </c>
      <c r="B6" s="21" t="n">
        <v>2</v>
      </c>
      <c r="C6" s="21" t="s">
        <v>750</v>
      </c>
      <c r="D6" s="21" t="s">
        <v>746</v>
      </c>
      <c r="E6" s="21" t="s">
        <v>751</v>
      </c>
      <c r="F6" s="21" t="s">
        <v>649</v>
      </c>
      <c r="G6" s="20" t="n">
        <v>1.69</v>
      </c>
      <c r="H6" s="20" t="n">
        <v>1.41</v>
      </c>
      <c r="I6" s="21" t="n">
        <v>3</v>
      </c>
      <c r="J6" s="25" t="n">
        <v>0.95</v>
      </c>
      <c r="K6" s="23" t="n">
        <v>10.1</v>
      </c>
      <c r="L6" s="21" t="s">
        <v>748</v>
      </c>
      <c r="M6" s="21" t="s">
        <v>749</v>
      </c>
    </row>
    <row r="7" customFormat="false" ht="15" hidden="false" customHeight="true" outlineLevel="0" collapsed="false">
      <c r="A7" s="34" t="n">
        <v>1</v>
      </c>
      <c r="B7" s="21" t="n">
        <v>3</v>
      </c>
      <c r="C7" s="21" t="s">
        <v>752</v>
      </c>
      <c r="D7" s="21" t="s">
        <v>746</v>
      </c>
      <c r="E7" s="21" t="s">
        <v>753</v>
      </c>
      <c r="F7" s="21" t="s">
        <v>649</v>
      </c>
      <c r="G7" s="20" t="n">
        <v>1.28</v>
      </c>
      <c r="H7" s="20" t="n">
        <v>1.17</v>
      </c>
      <c r="I7" s="21" t="n">
        <v>3</v>
      </c>
      <c r="J7" s="25" t="n">
        <v>0.92</v>
      </c>
      <c r="K7" s="23" t="n">
        <v>11.1</v>
      </c>
      <c r="L7" s="21" t="s">
        <v>748</v>
      </c>
      <c r="M7" s="21" t="s">
        <v>749</v>
      </c>
    </row>
    <row r="8" customFormat="false" ht="15" hidden="false" customHeight="true" outlineLevel="0" collapsed="false">
      <c r="A8" s="34" t="n">
        <v>1</v>
      </c>
      <c r="B8" s="21" t="n">
        <v>4</v>
      </c>
      <c r="C8" s="21" t="s">
        <v>754</v>
      </c>
      <c r="D8" s="21" t="s">
        <v>746</v>
      </c>
      <c r="E8" s="21" t="s">
        <v>755</v>
      </c>
      <c r="F8" s="21" t="s">
        <v>649</v>
      </c>
      <c r="G8" s="20" t="n">
        <v>1.54</v>
      </c>
      <c r="H8" s="20" t="n">
        <v>1.32</v>
      </c>
      <c r="I8" s="21" t="n">
        <v>4</v>
      </c>
      <c r="J8" s="25" t="n">
        <v>0.9</v>
      </c>
      <c r="K8" s="23" t="n">
        <v>12.2</v>
      </c>
      <c r="L8" s="21" t="s">
        <v>748</v>
      </c>
      <c r="M8" s="21" t="s">
        <v>749</v>
      </c>
    </row>
    <row r="9" customFormat="false" ht="15" hidden="false" customHeight="true" outlineLevel="0" collapsed="false">
      <c r="A9" s="34" t="n">
        <v>1</v>
      </c>
      <c r="B9" s="21" t="n">
        <v>5</v>
      </c>
      <c r="C9" s="21" t="s">
        <v>756</v>
      </c>
      <c r="D9" s="21" t="s">
        <v>746</v>
      </c>
      <c r="E9" s="21" t="s">
        <v>757</v>
      </c>
      <c r="F9" s="21" t="s">
        <v>660</v>
      </c>
      <c r="G9" s="20" t="n">
        <v>1.27</v>
      </c>
      <c r="H9" s="20" t="n">
        <v>1.16</v>
      </c>
      <c r="I9" s="21" t="n">
        <v>4</v>
      </c>
      <c r="J9" s="25" t="n">
        <v>0.88</v>
      </c>
      <c r="K9" s="23" t="n">
        <v>12.2</v>
      </c>
      <c r="L9" s="21" t="s">
        <v>748</v>
      </c>
      <c r="M9" s="21" t="s">
        <v>749</v>
      </c>
    </row>
    <row r="10" customFormat="false" ht="15" hidden="false" customHeight="true" outlineLevel="0" collapsed="false">
      <c r="A10" s="34" t="n">
        <v>1</v>
      </c>
      <c r="B10" s="21" t="n">
        <v>6</v>
      </c>
      <c r="C10" s="21" t="s">
        <v>758</v>
      </c>
      <c r="D10" s="21" t="s">
        <v>746</v>
      </c>
      <c r="E10" s="21" t="s">
        <v>759</v>
      </c>
      <c r="F10" s="21" t="s">
        <v>649</v>
      </c>
      <c r="G10" s="20" t="n">
        <v>1.29</v>
      </c>
      <c r="H10" s="20" t="n">
        <v>1.17</v>
      </c>
      <c r="I10" s="21" t="n">
        <v>5</v>
      </c>
      <c r="J10" s="25" t="n">
        <v>0.85</v>
      </c>
      <c r="K10" s="23" t="n">
        <v>13</v>
      </c>
      <c r="L10" s="21" t="s">
        <v>748</v>
      </c>
      <c r="M10" s="21" t="s">
        <v>749</v>
      </c>
    </row>
    <row r="11" customFormat="false" ht="15" hidden="false" customHeight="true" outlineLevel="0" collapsed="false">
      <c r="A11" s="34" t="n">
        <v>1</v>
      </c>
      <c r="B11" s="21" t="n">
        <v>7</v>
      </c>
      <c r="C11" s="21" t="s">
        <v>760</v>
      </c>
      <c r="D11" s="21" t="s">
        <v>746</v>
      </c>
      <c r="E11" s="21" t="s">
        <v>761</v>
      </c>
      <c r="F11" s="21" t="s">
        <v>660</v>
      </c>
      <c r="G11" s="20" t="n">
        <v>1.04</v>
      </c>
      <c r="H11" s="20" t="n">
        <v>1.02</v>
      </c>
      <c r="I11" s="21" t="n">
        <v>5</v>
      </c>
      <c r="J11" s="25" t="n">
        <v>0.85</v>
      </c>
      <c r="K11" s="23" t="n">
        <v>12.7</v>
      </c>
      <c r="L11" s="21" t="s">
        <v>748</v>
      </c>
      <c r="M11" s="21" t="s">
        <v>749</v>
      </c>
    </row>
    <row r="12" customFormat="false" ht="15" hidden="false" customHeight="true" outlineLevel="0" collapsed="false">
      <c r="A12" s="34" t="n">
        <v>1</v>
      </c>
      <c r="B12" s="21" t="n">
        <v>8</v>
      </c>
      <c r="C12" s="21" t="s">
        <v>762</v>
      </c>
      <c r="D12" s="21" t="s">
        <v>746</v>
      </c>
      <c r="E12" s="21" t="s">
        <v>763</v>
      </c>
      <c r="F12" s="21" t="s">
        <v>649</v>
      </c>
      <c r="G12" s="20" t="n">
        <v>1.65</v>
      </c>
      <c r="H12" s="20" t="n">
        <v>1.39</v>
      </c>
      <c r="I12" s="21" t="n">
        <v>5</v>
      </c>
      <c r="J12" s="25" t="n">
        <v>0.81</v>
      </c>
      <c r="K12" s="23" t="n">
        <v>13.3</v>
      </c>
      <c r="L12" s="21" t="s">
        <v>748</v>
      </c>
      <c r="M12" s="21" t="s">
        <v>749</v>
      </c>
    </row>
    <row r="13" customFormat="false" ht="15" hidden="false" customHeight="true" outlineLevel="0" collapsed="false">
      <c r="A13" s="34" t="n">
        <v>1</v>
      </c>
      <c r="B13" s="21" t="n">
        <v>9</v>
      </c>
      <c r="C13" s="21" t="s">
        <v>764</v>
      </c>
      <c r="D13" s="21" t="s">
        <v>746</v>
      </c>
      <c r="E13" s="21" t="s">
        <v>765</v>
      </c>
      <c r="F13" s="21" t="s">
        <v>660</v>
      </c>
      <c r="G13" s="20" t="n">
        <v>0.88</v>
      </c>
      <c r="H13" s="20" t="n">
        <v>0.93</v>
      </c>
      <c r="I13" s="21" t="n">
        <v>5</v>
      </c>
      <c r="J13" s="25" t="n">
        <v>0.81</v>
      </c>
      <c r="K13" s="23" t="n">
        <v>13.1</v>
      </c>
      <c r="L13" s="21" t="s">
        <v>748</v>
      </c>
      <c r="M13" s="21" t="s">
        <v>749</v>
      </c>
    </row>
    <row r="14" customFormat="false" ht="15" hidden="false" customHeight="true" outlineLevel="0" collapsed="false">
      <c r="A14" s="34" t="n">
        <v>1</v>
      </c>
      <c r="B14" s="21" t="n">
        <v>10</v>
      </c>
      <c r="C14" s="21" t="s">
        <v>665</v>
      </c>
      <c r="D14" s="21" t="s">
        <v>746</v>
      </c>
      <c r="E14" s="21" t="s">
        <v>766</v>
      </c>
      <c r="F14" s="21" t="s">
        <v>666</v>
      </c>
      <c r="G14" s="20" t="n">
        <v>0.87</v>
      </c>
      <c r="H14" s="20" t="n">
        <v>0.92</v>
      </c>
      <c r="I14" s="21" t="n">
        <v>5</v>
      </c>
      <c r="J14" s="25" t="n">
        <v>0.59</v>
      </c>
      <c r="K14" s="23" t="n">
        <v>14.1</v>
      </c>
      <c r="L14" s="21" t="s">
        <v>767</v>
      </c>
      <c r="M14" s="21" t="s">
        <v>749</v>
      </c>
    </row>
    <row r="15" customFormat="false" ht="15" hidden="false" customHeight="true" outlineLevel="0" collapsed="false">
      <c r="A15" s="34" t="n">
        <v>2</v>
      </c>
      <c r="B15" s="21" t="n">
        <v>1</v>
      </c>
      <c r="C15" s="21" t="s">
        <v>768</v>
      </c>
      <c r="D15" s="21" t="s">
        <v>769</v>
      </c>
      <c r="E15" s="21" t="s">
        <v>770</v>
      </c>
      <c r="F15" s="21" t="s">
        <v>649</v>
      </c>
      <c r="G15" s="20"/>
      <c r="H15" s="20"/>
      <c r="I15" s="21"/>
      <c r="J15" s="25"/>
      <c r="K15" s="23"/>
      <c r="L15" s="21"/>
      <c r="M15" s="21" t="s">
        <v>771</v>
      </c>
    </row>
    <row r="16" customFormat="false" ht="15" hidden="false" customHeight="true" outlineLevel="0" collapsed="false">
      <c r="A16" s="34" t="n">
        <v>2</v>
      </c>
      <c r="B16" s="21" t="n">
        <v>2</v>
      </c>
      <c r="C16" s="21" t="s">
        <v>772</v>
      </c>
      <c r="D16" s="21" t="s">
        <v>769</v>
      </c>
      <c r="E16" s="21" t="s">
        <v>773</v>
      </c>
      <c r="F16" s="21" t="s">
        <v>649</v>
      </c>
      <c r="G16" s="20"/>
      <c r="H16" s="20"/>
      <c r="I16" s="21"/>
      <c r="J16" s="25"/>
      <c r="K16" s="23"/>
      <c r="L16" s="21"/>
      <c r="M16" s="21" t="s">
        <v>771</v>
      </c>
    </row>
    <row r="17" customFormat="false" ht="15" hidden="false" customHeight="true" outlineLevel="0" collapsed="false">
      <c r="A17" s="34" t="n">
        <v>2</v>
      </c>
      <c r="B17" s="21" t="n">
        <v>3</v>
      </c>
      <c r="C17" s="21" t="s">
        <v>774</v>
      </c>
      <c r="D17" s="21" t="s">
        <v>769</v>
      </c>
      <c r="E17" s="21" t="s">
        <v>775</v>
      </c>
      <c r="F17" s="21" t="s">
        <v>649</v>
      </c>
      <c r="G17" s="20"/>
      <c r="H17" s="20"/>
      <c r="I17" s="21"/>
      <c r="J17" s="25"/>
      <c r="K17" s="23"/>
      <c r="L17" s="21"/>
      <c r="M17" s="21" t="s">
        <v>771</v>
      </c>
    </row>
    <row r="18" customFormat="false" ht="15" hidden="false" customHeight="true" outlineLevel="0" collapsed="false">
      <c r="A18" s="34" t="n">
        <v>2</v>
      </c>
      <c r="B18" s="21" t="n">
        <v>4</v>
      </c>
      <c r="C18" s="21" t="s">
        <v>776</v>
      </c>
      <c r="D18" s="21" t="s">
        <v>769</v>
      </c>
      <c r="E18" s="21" t="s">
        <v>777</v>
      </c>
      <c r="F18" s="21" t="s">
        <v>649</v>
      </c>
      <c r="G18" s="20"/>
      <c r="H18" s="20"/>
      <c r="I18" s="21"/>
      <c r="J18" s="25"/>
      <c r="K18" s="23"/>
      <c r="L18" s="21"/>
      <c r="M18" s="21" t="s">
        <v>771</v>
      </c>
    </row>
    <row r="19" customFormat="false" ht="15" hidden="false" customHeight="true" outlineLevel="0" collapsed="false">
      <c r="A19" s="34" t="n">
        <v>2</v>
      </c>
      <c r="B19" s="21" t="n">
        <v>5</v>
      </c>
      <c r="C19" s="21" t="s">
        <v>673</v>
      </c>
      <c r="D19" s="21" t="s">
        <v>769</v>
      </c>
      <c r="E19" s="21" t="s">
        <v>778</v>
      </c>
      <c r="F19" s="21" t="s">
        <v>666</v>
      </c>
      <c r="G19" s="20"/>
      <c r="H19" s="20"/>
      <c r="I19" s="21"/>
      <c r="J19" s="25"/>
      <c r="K19" s="23"/>
      <c r="L19" s="21"/>
      <c r="M19" s="21" t="s">
        <v>771</v>
      </c>
    </row>
    <row r="20" customFormat="false" ht="15" hidden="false" customHeight="true" outlineLevel="0" collapsed="false">
      <c r="A20" s="34" t="n">
        <v>2</v>
      </c>
      <c r="B20" s="21" t="n">
        <v>6</v>
      </c>
      <c r="C20" s="21" t="s">
        <v>779</v>
      </c>
      <c r="D20" s="21" t="s">
        <v>769</v>
      </c>
      <c r="E20" s="21" t="s">
        <v>780</v>
      </c>
      <c r="F20" s="21" t="s">
        <v>649</v>
      </c>
      <c r="G20" s="20"/>
      <c r="H20" s="20"/>
      <c r="I20" s="21"/>
      <c r="J20" s="25"/>
      <c r="K20" s="23"/>
      <c r="L20" s="21"/>
      <c r="M20" s="21" t="s">
        <v>771</v>
      </c>
    </row>
    <row r="21" customFormat="false" ht="15" hidden="false" customHeight="true" outlineLevel="0" collapsed="false">
      <c r="A21" s="34" t="n">
        <v>2</v>
      </c>
      <c r="B21" s="21" t="n">
        <v>7</v>
      </c>
      <c r="C21" s="21" t="s">
        <v>781</v>
      </c>
      <c r="D21" s="21" t="s">
        <v>769</v>
      </c>
      <c r="E21" s="21" t="s">
        <v>782</v>
      </c>
      <c r="F21" s="21" t="s">
        <v>649</v>
      </c>
      <c r="G21" s="20"/>
      <c r="H21" s="20"/>
      <c r="I21" s="21"/>
      <c r="J21" s="25"/>
      <c r="K21" s="23"/>
      <c r="L21" s="21"/>
      <c r="M21" s="21" t="s">
        <v>771</v>
      </c>
    </row>
    <row r="22" customFormat="false" ht="15" hidden="false" customHeight="true" outlineLevel="0" collapsed="false">
      <c r="A22" s="34" t="n">
        <v>2</v>
      </c>
      <c r="B22" s="21" t="n">
        <v>8</v>
      </c>
      <c r="C22" s="21" t="s">
        <v>783</v>
      </c>
      <c r="D22" s="21" t="s">
        <v>769</v>
      </c>
      <c r="E22" s="21" t="s">
        <v>784</v>
      </c>
      <c r="F22" s="21" t="s">
        <v>649</v>
      </c>
      <c r="G22" s="20"/>
      <c r="H22" s="20"/>
      <c r="I22" s="21"/>
      <c r="J22" s="25"/>
      <c r="K22" s="23"/>
      <c r="L22" s="21"/>
      <c r="M22" s="21" t="s">
        <v>771</v>
      </c>
    </row>
    <row r="23" customFormat="false" ht="15" hidden="false" customHeight="true" outlineLevel="0" collapsed="false">
      <c r="A23" s="34" t="n">
        <v>2</v>
      </c>
      <c r="B23" s="21" t="n">
        <v>9</v>
      </c>
      <c r="C23" s="21" t="s">
        <v>785</v>
      </c>
      <c r="D23" s="21" t="s">
        <v>769</v>
      </c>
      <c r="E23" s="21" t="s">
        <v>786</v>
      </c>
      <c r="F23" s="21" t="s">
        <v>660</v>
      </c>
      <c r="G23" s="20"/>
      <c r="H23" s="20"/>
      <c r="I23" s="21"/>
      <c r="J23" s="25"/>
      <c r="K23" s="23"/>
      <c r="L23" s="21"/>
      <c r="M23" s="21" t="s">
        <v>771</v>
      </c>
    </row>
    <row r="24" customFormat="false" ht="15" hidden="false" customHeight="true" outlineLevel="0" collapsed="false">
      <c r="A24" s="34" t="n">
        <v>2</v>
      </c>
      <c r="B24" s="21" t="n">
        <v>10</v>
      </c>
      <c r="C24" s="21" t="s">
        <v>698</v>
      </c>
      <c r="D24" s="21" t="s">
        <v>769</v>
      </c>
      <c r="E24" s="21" t="s">
        <v>787</v>
      </c>
      <c r="F24" s="21" t="s">
        <v>666</v>
      </c>
      <c r="G24" s="20"/>
      <c r="H24" s="20"/>
      <c r="I24" s="21"/>
      <c r="J24" s="25"/>
      <c r="K24" s="23"/>
      <c r="L24" s="21"/>
      <c r="M24" s="21" t="s">
        <v>771</v>
      </c>
    </row>
    <row r="25" customFormat="false" ht="15" hidden="false" customHeight="true" outlineLevel="0" collapsed="false">
      <c r="A25" s="34" t="n">
        <v>3</v>
      </c>
      <c r="B25" s="21" t="n">
        <v>1</v>
      </c>
      <c r="C25" s="21" t="s">
        <v>788</v>
      </c>
      <c r="D25" s="21" t="s">
        <v>789</v>
      </c>
      <c r="E25" s="21" t="s">
        <v>790</v>
      </c>
      <c r="F25" s="21" t="s">
        <v>649</v>
      </c>
      <c r="G25" s="20"/>
      <c r="H25" s="20"/>
      <c r="I25" s="21"/>
      <c r="J25" s="25"/>
      <c r="K25" s="23"/>
      <c r="L25" s="21"/>
      <c r="M25" s="21" t="s">
        <v>771</v>
      </c>
    </row>
    <row r="26" customFormat="false" ht="15" hidden="false" customHeight="true" outlineLevel="0" collapsed="false">
      <c r="A26" s="34" t="n">
        <v>3</v>
      </c>
      <c r="B26" s="21" t="n">
        <v>2</v>
      </c>
      <c r="C26" s="21" t="s">
        <v>791</v>
      </c>
      <c r="D26" s="21" t="s">
        <v>789</v>
      </c>
      <c r="E26" s="21" t="s">
        <v>792</v>
      </c>
      <c r="F26" s="21" t="s">
        <v>649</v>
      </c>
      <c r="G26" s="20"/>
      <c r="H26" s="20"/>
      <c r="I26" s="21"/>
      <c r="J26" s="25"/>
      <c r="K26" s="23"/>
      <c r="L26" s="21"/>
      <c r="M26" s="21" t="s">
        <v>771</v>
      </c>
    </row>
    <row r="27" customFormat="false" ht="15" hidden="false" customHeight="true" outlineLevel="0" collapsed="false">
      <c r="A27" s="34" t="n">
        <v>3</v>
      </c>
      <c r="B27" s="21" t="n">
        <v>3</v>
      </c>
      <c r="C27" s="21" t="s">
        <v>793</v>
      </c>
      <c r="D27" s="21" t="s">
        <v>789</v>
      </c>
      <c r="E27" s="21" t="s">
        <v>794</v>
      </c>
      <c r="F27" s="21" t="s">
        <v>649</v>
      </c>
      <c r="G27" s="20"/>
      <c r="H27" s="20"/>
      <c r="I27" s="21"/>
      <c r="J27" s="25"/>
      <c r="K27" s="23"/>
      <c r="L27" s="21"/>
      <c r="M27" s="21" t="s">
        <v>771</v>
      </c>
    </row>
    <row r="28" customFormat="false" ht="15" hidden="false" customHeight="true" outlineLevel="0" collapsed="false">
      <c r="A28" s="34" t="n">
        <v>3</v>
      </c>
      <c r="B28" s="21" t="n">
        <v>4</v>
      </c>
      <c r="C28" s="21" t="s">
        <v>795</v>
      </c>
      <c r="D28" s="21" t="s">
        <v>789</v>
      </c>
      <c r="E28" s="21" t="s">
        <v>796</v>
      </c>
      <c r="F28" s="21" t="s">
        <v>649</v>
      </c>
      <c r="G28" s="20"/>
      <c r="H28" s="20"/>
      <c r="I28" s="21"/>
      <c r="J28" s="25"/>
      <c r="K28" s="23"/>
      <c r="L28" s="21"/>
      <c r="M28" s="21" t="s">
        <v>771</v>
      </c>
    </row>
    <row r="29" customFormat="false" ht="15" hidden="false" customHeight="true" outlineLevel="0" collapsed="false">
      <c r="A29" s="34" t="n">
        <v>3</v>
      </c>
      <c r="B29" s="21" t="n">
        <v>5</v>
      </c>
      <c r="C29" s="21" t="s">
        <v>713</v>
      </c>
      <c r="D29" s="21" t="s">
        <v>789</v>
      </c>
      <c r="E29" s="21" t="s">
        <v>797</v>
      </c>
      <c r="F29" s="21" t="s">
        <v>666</v>
      </c>
      <c r="G29" s="20"/>
      <c r="H29" s="20"/>
      <c r="I29" s="21"/>
      <c r="J29" s="25"/>
      <c r="K29" s="23"/>
      <c r="L29" s="21"/>
      <c r="M29" s="21" t="s">
        <v>771</v>
      </c>
    </row>
    <row r="30" customFormat="false" ht="15" hidden="false" customHeight="true" outlineLevel="0" collapsed="false">
      <c r="A30" s="34" t="n">
        <v>3</v>
      </c>
      <c r="B30" s="21" t="n">
        <v>6</v>
      </c>
      <c r="C30" s="21" t="s">
        <v>798</v>
      </c>
      <c r="D30" s="21" t="s">
        <v>789</v>
      </c>
      <c r="E30" s="21" t="s">
        <v>799</v>
      </c>
      <c r="F30" s="21" t="s">
        <v>649</v>
      </c>
      <c r="G30" s="20"/>
      <c r="H30" s="20"/>
      <c r="I30" s="21"/>
      <c r="J30" s="25"/>
      <c r="K30" s="23"/>
      <c r="L30" s="21"/>
      <c r="M30" s="21" t="s">
        <v>771</v>
      </c>
    </row>
    <row r="31" customFormat="false" ht="15" hidden="false" customHeight="true" outlineLevel="0" collapsed="false">
      <c r="A31" s="34" t="n">
        <v>3</v>
      </c>
      <c r="B31" s="21" t="n">
        <v>7</v>
      </c>
      <c r="C31" s="21" t="s">
        <v>800</v>
      </c>
      <c r="D31" s="21" t="s">
        <v>789</v>
      </c>
      <c r="E31" s="21" t="s">
        <v>801</v>
      </c>
      <c r="F31" s="21" t="s">
        <v>649</v>
      </c>
      <c r="G31" s="20"/>
      <c r="H31" s="20"/>
      <c r="I31" s="21"/>
      <c r="J31" s="25"/>
      <c r="K31" s="23"/>
      <c r="L31" s="21"/>
      <c r="M31" s="21" t="s">
        <v>771</v>
      </c>
    </row>
    <row r="32" customFormat="false" ht="15" hidden="false" customHeight="true" outlineLevel="0" collapsed="false">
      <c r="A32" s="34" t="n">
        <v>3</v>
      </c>
      <c r="B32" s="21" t="n">
        <v>8</v>
      </c>
      <c r="C32" s="21" t="s">
        <v>802</v>
      </c>
      <c r="D32" s="21" t="s">
        <v>789</v>
      </c>
      <c r="E32" s="21" t="s">
        <v>803</v>
      </c>
      <c r="F32" s="21" t="s">
        <v>660</v>
      </c>
      <c r="G32" s="20"/>
      <c r="H32" s="20"/>
      <c r="I32" s="21"/>
      <c r="J32" s="25"/>
      <c r="K32" s="23"/>
      <c r="L32" s="21"/>
      <c r="M32" s="21" t="s">
        <v>771</v>
      </c>
    </row>
    <row r="33" customFormat="false" ht="15" hidden="false" customHeight="true" outlineLevel="0" collapsed="false">
      <c r="A33" s="34" t="n">
        <v>3</v>
      </c>
      <c r="B33" s="21" t="n">
        <v>9</v>
      </c>
      <c r="C33" s="21" t="s">
        <v>804</v>
      </c>
      <c r="D33" s="21" t="s">
        <v>789</v>
      </c>
      <c r="E33" s="21" t="s">
        <v>805</v>
      </c>
      <c r="F33" s="21" t="s">
        <v>660</v>
      </c>
      <c r="G33" s="20"/>
      <c r="H33" s="20"/>
      <c r="I33" s="21"/>
      <c r="J33" s="25"/>
      <c r="K33" s="23"/>
      <c r="L33" s="21"/>
      <c r="M33" s="21" t="s">
        <v>771</v>
      </c>
    </row>
    <row r="34" customFormat="false" ht="15" hidden="false" customHeight="true" outlineLevel="0" collapsed="false">
      <c r="A34" s="34" t="n">
        <v>3</v>
      </c>
      <c r="B34" s="21" t="n">
        <v>10</v>
      </c>
      <c r="C34" s="21" t="s">
        <v>720</v>
      </c>
      <c r="D34" s="21" t="s">
        <v>789</v>
      </c>
      <c r="E34" s="21" t="s">
        <v>806</v>
      </c>
      <c r="F34" s="21" t="s">
        <v>666</v>
      </c>
      <c r="G34" s="20"/>
      <c r="H34" s="20"/>
      <c r="I34" s="21"/>
      <c r="J34" s="25"/>
      <c r="K34" s="23"/>
      <c r="L34" s="21"/>
      <c r="M34" s="21" t="s">
        <v>771</v>
      </c>
    </row>
  </sheetData>
  <dataValidations count="1">
    <dataValidation allowBlank="true" error="Giá trị này không có trong DANH_MỤC." errorStyle="warning" errorTitle="Ngoài danh sách" operator="between" showDropDown="false" showErrorMessage="true" showInputMessage="false" sqref="F5:F34" type="list">
      <formula1>DANH_MỤC!$M$2:$M$4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B13" activeCellId="0" sqref="B13"/>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26"/>
    <col collapsed="false" customWidth="true" hidden="false" outlineLevel="0" max="10" min="4" style="1" width="22"/>
    <col collapsed="false" customWidth="true" hidden="false" outlineLevel="0" max="11" min="11" style="1" width="10"/>
    <col collapsed="false" customWidth="true" hidden="false" outlineLevel="0" max="12" min="12" style="1" width="30"/>
  </cols>
  <sheetData>
    <row r="1" customFormat="false" ht="18" hidden="false" customHeight="true" outlineLevel="0" collapsed="false">
      <c r="A1" s="2" t="s">
        <v>807</v>
      </c>
    </row>
    <row r="2" customFormat="false" ht="15" hidden="false" customHeight="true" outlineLevel="0" collapsed="false">
      <c r="A2" s="9" t="s">
        <v>808</v>
      </c>
    </row>
    <row r="4" customFormat="false" ht="42" hidden="false" customHeight="true" outlineLevel="0" collapsed="false">
      <c r="A4" s="10" t="s">
        <v>323</v>
      </c>
      <c r="B4" s="10" t="s">
        <v>324</v>
      </c>
      <c r="C4" s="10" t="s">
        <v>809</v>
      </c>
      <c r="D4" s="10" t="s">
        <v>810</v>
      </c>
      <c r="E4" s="10" t="s">
        <v>811</v>
      </c>
      <c r="F4" s="10" t="s">
        <v>812</v>
      </c>
      <c r="G4" s="10" t="s">
        <v>813</v>
      </c>
      <c r="H4" s="10" t="s">
        <v>814</v>
      </c>
      <c r="I4" s="10" t="s">
        <v>815</v>
      </c>
      <c r="J4" s="10" t="s">
        <v>816</v>
      </c>
      <c r="K4" s="10" t="s">
        <v>817</v>
      </c>
      <c r="L4" s="10" t="s">
        <v>57</v>
      </c>
    </row>
    <row r="5" customFormat="false" ht="15" hidden="false" customHeight="true" outlineLevel="0" collapsed="false">
      <c r="A5" s="22" t="str">
        <f aca="false">NHÂN_VẬT!$A$6</f>
        <v>NV01</v>
      </c>
      <c r="B5" s="22" t="str">
        <f aca="false">IF(NHÂN_VẬT!$B$6="","",NHÂN_VẬT!$B$6)</f>
        <v>HCM-THỦ KHO HIẾU</v>
      </c>
      <c r="C5" s="21"/>
      <c r="D5" s="21"/>
      <c r="E5" s="21"/>
      <c r="F5" s="21"/>
      <c r="G5" s="21"/>
      <c r="H5" s="21"/>
      <c r="I5" s="21"/>
      <c r="J5" s="21"/>
      <c r="K5" s="22" t="str">
        <f aca="false">COUNTA(C5:J5)&amp;"/8"</f>
        <v>0/8</v>
      </c>
      <c r="L5" s="21"/>
    </row>
    <row r="6" customFormat="false" ht="15" hidden="false" customHeight="true" outlineLevel="0" collapsed="false">
      <c r="A6" s="22" t="str">
        <f aca="false">NHÂN_VẬT!$A$7</f>
        <v>NV02</v>
      </c>
      <c r="B6" s="22" t="str">
        <f aca="false">IF(NHÂN_VẬT!$B$7="","",NHÂN_VẬT!$B$7)</f>
        <v>HN-PHỤ KHO HƯNG</v>
      </c>
      <c r="C6" s="21"/>
      <c r="D6" s="21"/>
      <c r="E6" s="21"/>
      <c r="F6" s="21"/>
      <c r="G6" s="21"/>
      <c r="H6" s="21"/>
      <c r="I6" s="21"/>
      <c r="J6" s="21"/>
      <c r="K6" s="22" t="str">
        <f aca="false">COUNTA(C6:J6)&amp;"/8"</f>
        <v>0/8</v>
      </c>
      <c r="L6" s="21"/>
    </row>
    <row r="7" customFormat="false" ht="15" hidden="false" customHeight="true" outlineLevel="0" collapsed="false">
      <c r="A7" s="22" t="str">
        <f aca="false">NHÂN_VẬT!$A$8</f>
        <v>NV03</v>
      </c>
      <c r="B7" s="22" t="str">
        <f aca="false">IF(NHÂN_VẬT!$B$8="","",NHÂN_VẬT!$B$8)</f>
        <v>HCM-PHỤ KHO VŨ</v>
      </c>
      <c r="C7" s="21"/>
      <c r="D7" s="21"/>
      <c r="E7" s="21"/>
      <c r="F7" s="21"/>
      <c r="G7" s="21"/>
      <c r="H7" s="21"/>
      <c r="I7" s="21"/>
      <c r="J7" s="21"/>
      <c r="K7" s="22" t="str">
        <f aca="false">COUNTA(C7:J7)&amp;"/8"</f>
        <v>0/8</v>
      </c>
      <c r="L7" s="21"/>
    </row>
    <row r="8" customFormat="false" ht="15" hidden="false" customHeight="true" outlineLevel="0" collapsed="false">
      <c r="A8" s="22" t="str">
        <f aca="false">NHÂN_VẬT!$A$9</f>
        <v>NV04</v>
      </c>
      <c r="B8" s="22" t="str">
        <f aca="false">IF(NHÂN_VẬT!$B$9="","",NHÂN_VẬT!$B$9)</f>
        <v>HCM-SALE THẢO</v>
      </c>
      <c r="C8" s="21"/>
      <c r="D8" s="21"/>
      <c r="E8" s="21"/>
      <c r="F8" s="21"/>
      <c r="G8" s="21"/>
      <c r="H8" s="21"/>
      <c r="I8" s="21"/>
      <c r="J8" s="21"/>
      <c r="K8" s="22" t="str">
        <f aca="false">COUNTA(C8:J8)&amp;"/8"</f>
        <v>0/8</v>
      </c>
      <c r="L8" s="21"/>
    </row>
    <row r="9" customFormat="false" ht="15" hidden="false" customHeight="true" outlineLevel="0" collapsed="false">
      <c r="A9" s="22" t="str">
        <f aca="false">NHÂN_VẬT!$A$10</f>
        <v>NV05</v>
      </c>
      <c r="B9" s="22" t="str">
        <f aca="false">IF(NHÂN_VẬT!$B$10="","",NHÂN_VẬT!$B$10)</f>
        <v>HCM-SALE DƯƠNG</v>
      </c>
      <c r="C9" s="21"/>
      <c r="D9" s="21"/>
      <c r="E9" s="21"/>
      <c r="F9" s="21"/>
      <c r="G9" s="21"/>
      <c r="H9" s="21"/>
      <c r="I9" s="21"/>
      <c r="J9" s="21"/>
      <c r="K9" s="22" t="str">
        <f aca="false">COUNTA(C9:J9)&amp;"/8"</f>
        <v>0/8</v>
      </c>
      <c r="L9" s="21"/>
    </row>
    <row r="10" customFormat="false" ht="15" hidden="false" customHeight="true" outlineLevel="0" collapsed="false">
      <c r="A10" s="22" t="str">
        <f aca="false">NHÂN_VẬT!$A$11</f>
        <v>NV06</v>
      </c>
      <c r="B10" s="22" t="str">
        <f aca="false">IF(NHÂN_VẬT!$B$11="","",NHÂN_VẬT!$B$11)</f>
        <v>HCM-SALE DUYÊN</v>
      </c>
      <c r="C10" s="21"/>
      <c r="D10" s="21"/>
      <c r="E10" s="21"/>
      <c r="F10" s="21"/>
      <c r="G10" s="21"/>
      <c r="H10" s="21"/>
      <c r="I10" s="21"/>
      <c r="J10" s="21"/>
      <c r="K10" s="22" t="str">
        <f aca="false">COUNTA(C10:J10)&amp;"/8"</f>
        <v>0/8</v>
      </c>
      <c r="L10" s="21"/>
    </row>
    <row r="11" customFormat="false" ht="15" hidden="false" customHeight="true" outlineLevel="0" collapsed="false">
      <c r="A11" s="22" t="str">
        <f aca="false">NHÂN_VẬT!$A$12</f>
        <v>NV07</v>
      </c>
      <c r="B11" s="22" t="str">
        <f aca="false">IF(NHÂN_VẬT!$B$12="","",NHÂN_VẬT!$B$12)</f>
        <v>HCM-KẾ TOÁN THU</v>
      </c>
      <c r="C11" s="21"/>
      <c r="D11" s="21"/>
      <c r="E11" s="21"/>
      <c r="F11" s="21"/>
      <c r="G11" s="21"/>
      <c r="H11" s="21"/>
      <c r="I11" s="21"/>
      <c r="J11" s="21"/>
      <c r="K11" s="22" t="str">
        <f aca="false">COUNTA(C11:J11)&amp;"/8"</f>
        <v>0/8</v>
      </c>
      <c r="L11" s="21"/>
    </row>
    <row r="12" customFormat="false" ht="15" hidden="false" customHeight="true" outlineLevel="0" collapsed="false">
      <c r="A12" s="22" t="str">
        <f aca="false">NHÂN_VẬT!$A$13</f>
        <v>NV08</v>
      </c>
      <c r="B12" s="22" t="str">
        <f aca="false">IF(NHÂN_VẬT!$B$13="","",NHÂN_VẬT!$B$13)</f>
        <v>HCM-SALE NHÂN</v>
      </c>
      <c r="C12" s="21"/>
      <c r="D12" s="21"/>
      <c r="E12" s="21"/>
      <c r="F12" s="21"/>
      <c r="G12" s="21"/>
      <c r="H12" s="21"/>
      <c r="I12" s="21"/>
      <c r="J12" s="21"/>
      <c r="K12" s="22" t="str">
        <f aca="false">COUNTA(C12:J12)&amp;"/8"</f>
        <v>0/8</v>
      </c>
      <c r="L12" s="21"/>
    </row>
    <row r="13" customFormat="false" ht="15" hidden="false" customHeight="true" outlineLevel="0" collapsed="false">
      <c r="A13" s="22" t="str">
        <f aca="false">NHÂN_VẬT!$A$14</f>
        <v>NV09</v>
      </c>
      <c r="B13" s="22" t="str">
        <f aca="false">IF(NHÂN_VẬT!$B$14="","",NHÂN_VẬT!$B$14)</f>
        <v>HCM-PHỤ KHO ANH LÂM</v>
      </c>
      <c r="C13" s="21"/>
      <c r="D13" s="21"/>
      <c r="E13" s="21"/>
      <c r="F13" s="21"/>
      <c r="G13" s="21"/>
      <c r="H13" s="21"/>
      <c r="I13" s="21"/>
      <c r="J13" s="21"/>
      <c r="K13" s="22" t="str">
        <f aca="false">COUNTA(C13:J13)&amp;"/8"</f>
        <v>0/8</v>
      </c>
      <c r="L13" s="21"/>
    </row>
    <row r="14" customFormat="false" ht="15" hidden="false" customHeight="true" outlineLevel="0" collapsed="false">
      <c r="A14" s="22" t="str">
        <f aca="false">IF(NHÂN_VẬT!$A$35="","",NHÂN_VẬT!$A$35)</f>
        <v/>
      </c>
      <c r="B14" s="22" t="str">
        <f aca="false">IF(NHÂN_VẬT!$B$35="","",NHÂN_VẬT!$B$35)</f>
        <v/>
      </c>
      <c r="C14" s="21"/>
      <c r="D14" s="21"/>
      <c r="E14" s="21"/>
      <c r="F14" s="21"/>
      <c r="G14" s="21"/>
      <c r="H14" s="21"/>
      <c r="I14" s="21"/>
      <c r="J14" s="21"/>
      <c r="K14" s="22" t="str">
        <f aca="false">COUNTA(C14:J14)&amp;"/8"</f>
        <v>0/8</v>
      </c>
      <c r="L14" s="21"/>
    </row>
    <row r="15" customFormat="false" ht="15" hidden="false" customHeight="true" outlineLevel="0" collapsed="false">
      <c r="A15" s="22" t="str">
        <f aca="false">NHÂN_VẬT!$A$15</f>
        <v>NV11</v>
      </c>
      <c r="B15" s="22" t="str">
        <f aca="false">IF(NHÂN_VẬT!$B$15="","",NHÂN_VẬT!$B$15)</f>
        <v>HCM- BÍCH THÍCH CHAN</v>
      </c>
      <c r="C15" s="21"/>
      <c r="D15" s="21"/>
      <c r="E15" s="21"/>
      <c r="F15" s="21"/>
      <c r="G15" s="21"/>
      <c r="H15" s="21"/>
      <c r="I15" s="21"/>
      <c r="J15" s="21"/>
      <c r="K15" s="22" t="str">
        <f aca="false">COUNTA(C15:J15)&amp;"/8"</f>
        <v>0/8</v>
      </c>
      <c r="L15" s="21"/>
    </row>
    <row r="16" customFormat="false" ht="15" hidden="false" customHeight="true" outlineLevel="0" collapsed="false">
      <c r="A16" s="22" t="str">
        <f aca="false">NHÂN_VẬT!$A$16</f>
        <v>NV12</v>
      </c>
      <c r="B16" s="22" t="str">
        <f aca="false">IF(NHÂN_VẬT!$B$16="","",NHÂN_VẬT!$B$16)</f>
        <v/>
      </c>
      <c r="C16" s="21"/>
      <c r="D16" s="21"/>
      <c r="E16" s="21"/>
      <c r="F16" s="21"/>
      <c r="G16" s="21"/>
      <c r="H16" s="21"/>
      <c r="I16" s="21"/>
      <c r="J16" s="21"/>
      <c r="K16" s="22" t="str">
        <f aca="false">COUNTA(C16:J16)&amp;"/8"</f>
        <v>0/8</v>
      </c>
      <c r="L16" s="21"/>
    </row>
    <row r="17" customFormat="false" ht="15" hidden="false" customHeight="true" outlineLevel="0" collapsed="false">
      <c r="A17" s="22" t="str">
        <f aca="false">NHÂN_VẬT!$A$17</f>
        <v>NV13</v>
      </c>
      <c r="B17" s="22" t="str">
        <f aca="false">IF(NHÂN_VẬT!$B$17="","",NHÂN_VẬT!$B$17)</f>
        <v/>
      </c>
      <c r="C17" s="21"/>
      <c r="D17" s="21"/>
      <c r="E17" s="21"/>
      <c r="F17" s="21"/>
      <c r="G17" s="21"/>
      <c r="H17" s="21"/>
      <c r="I17" s="21"/>
      <c r="J17" s="21"/>
      <c r="K17" s="22" t="str">
        <f aca="false">COUNTA(C17:J17)&amp;"/8"</f>
        <v>0/8</v>
      </c>
      <c r="L17" s="21"/>
    </row>
    <row r="18" customFormat="false" ht="15" hidden="false" customHeight="true" outlineLevel="0" collapsed="false">
      <c r="A18" s="22" t="str">
        <f aca="false">NHÂN_VẬT!$A$18</f>
        <v>NV14</v>
      </c>
      <c r="B18" s="22" t="str">
        <f aca="false">IF(NHÂN_VẬT!$B$18="","",NHÂN_VẬT!$B$18)</f>
        <v/>
      </c>
      <c r="C18" s="21"/>
      <c r="D18" s="21"/>
      <c r="E18" s="21"/>
      <c r="F18" s="21"/>
      <c r="G18" s="21"/>
      <c r="H18" s="21"/>
      <c r="I18" s="21"/>
      <c r="J18" s="21"/>
      <c r="K18" s="22" t="str">
        <f aca="false">COUNTA(C18:J18)&amp;"/8"</f>
        <v>0/8</v>
      </c>
      <c r="L18" s="21"/>
    </row>
    <row r="19" customFormat="false" ht="15" hidden="false" customHeight="true" outlineLevel="0" collapsed="false">
      <c r="A19" s="22" t="str">
        <f aca="false">NHÂN_VẬT!$A$19</f>
        <v>NV15</v>
      </c>
      <c r="B19" s="22" t="str">
        <f aca="false">IF(NHÂN_VẬT!$B$19="","",NHÂN_VẬT!$B$19)</f>
        <v/>
      </c>
      <c r="C19" s="21"/>
      <c r="D19" s="21"/>
      <c r="E19" s="21"/>
      <c r="F19" s="21"/>
      <c r="G19" s="21"/>
      <c r="H19" s="21"/>
      <c r="I19" s="21"/>
      <c r="J19" s="21"/>
      <c r="K19" s="22" t="str">
        <f aca="false">COUNTA(C19:J19)&amp;"/8"</f>
        <v>0/8</v>
      </c>
      <c r="L19" s="21"/>
    </row>
    <row r="20" customFormat="false" ht="15" hidden="false" customHeight="true" outlineLevel="0" collapsed="false">
      <c r="A20" s="22" t="str">
        <f aca="false">NHÂN_VẬT!$A$20</f>
        <v>NV16</v>
      </c>
      <c r="B20" s="22" t="str">
        <f aca="false">IF(NHÂN_VẬT!$B$20="","",NHÂN_VẬT!$B$20)</f>
        <v/>
      </c>
      <c r="C20" s="21"/>
      <c r="D20" s="21"/>
      <c r="E20" s="21"/>
      <c r="F20" s="21"/>
      <c r="G20" s="21"/>
      <c r="H20" s="21"/>
      <c r="I20" s="21"/>
      <c r="J20" s="21"/>
      <c r="K20" s="22" t="str">
        <f aca="false">COUNTA(C20:J20)&amp;"/8"</f>
        <v>0/8</v>
      </c>
      <c r="L20" s="21"/>
    </row>
    <row r="21" customFormat="false" ht="15" hidden="false" customHeight="true" outlineLevel="0" collapsed="false">
      <c r="A21" s="22" t="str">
        <f aca="false">NHÂN_VẬT!$A$21</f>
        <v>NV17</v>
      </c>
      <c r="B21" s="22" t="str">
        <f aca="false">IF(NHÂN_VẬT!$B$21="","",NHÂN_VẬT!$B$21)</f>
        <v/>
      </c>
      <c r="C21" s="21"/>
      <c r="D21" s="21"/>
      <c r="E21" s="21"/>
      <c r="F21" s="21"/>
      <c r="G21" s="21"/>
      <c r="H21" s="21"/>
      <c r="I21" s="21"/>
      <c r="J21" s="21"/>
      <c r="K21" s="22" t="str">
        <f aca="false">COUNTA(C21:J21)&amp;"/8"</f>
        <v>0/8</v>
      </c>
      <c r="L21" s="21"/>
    </row>
    <row r="22" customFormat="false" ht="15" hidden="false" customHeight="true" outlineLevel="0" collapsed="false">
      <c r="A22" s="22" t="str">
        <f aca="false">NHÂN_VẬT!$A$22</f>
        <v>NV18</v>
      </c>
      <c r="B22" s="22" t="str">
        <f aca="false">IF(NHÂN_VẬT!$B$22="","",NHÂN_VẬT!$B$22)</f>
        <v/>
      </c>
      <c r="C22" s="21"/>
      <c r="D22" s="21"/>
      <c r="E22" s="21"/>
      <c r="F22" s="21"/>
      <c r="G22" s="21"/>
      <c r="H22" s="21"/>
      <c r="I22" s="21"/>
      <c r="J22" s="21"/>
      <c r="K22" s="22" t="str">
        <f aca="false">COUNTA(C22:J22)&amp;"/8"</f>
        <v>0/8</v>
      </c>
      <c r="L22" s="21"/>
    </row>
    <row r="23" customFormat="false" ht="15" hidden="false" customHeight="true" outlineLevel="0" collapsed="false">
      <c r="A23" s="22" t="str">
        <f aca="false">NHÂN_VẬT!$A$23</f>
        <v>NV19</v>
      </c>
      <c r="B23" s="22" t="str">
        <f aca="false">IF(NHÂN_VẬT!$B$23="","",NHÂN_VẬT!$B$23)</f>
        <v/>
      </c>
      <c r="C23" s="21"/>
      <c r="D23" s="21"/>
      <c r="E23" s="21"/>
      <c r="F23" s="21"/>
      <c r="G23" s="21"/>
      <c r="H23" s="21"/>
      <c r="I23" s="21"/>
      <c r="J23" s="21"/>
      <c r="K23" s="22" t="str">
        <f aca="false">COUNTA(C23:J23)&amp;"/8"</f>
        <v>0/8</v>
      </c>
      <c r="L23" s="21"/>
    </row>
    <row r="24" customFormat="false" ht="15" hidden="false" customHeight="true" outlineLevel="0" collapsed="false">
      <c r="A24" s="22" t="str">
        <f aca="false">NHÂN_VẬT!$A$24</f>
        <v>NV20</v>
      </c>
      <c r="B24" s="22" t="str">
        <f aca="false">IF(NHÂN_VẬT!$B$24="","",NHÂN_VẬT!$B$24)</f>
        <v/>
      </c>
      <c r="C24" s="21"/>
      <c r="D24" s="21"/>
      <c r="E24" s="21"/>
      <c r="F24" s="21"/>
      <c r="G24" s="21"/>
      <c r="H24" s="21"/>
      <c r="I24" s="21"/>
      <c r="J24" s="21"/>
      <c r="K24" s="22" t="str">
        <f aca="false">COUNTA(C24:J24)&amp;"/8"</f>
        <v>0/8</v>
      </c>
      <c r="L24" s="21"/>
    </row>
    <row r="25" customFormat="false" ht="15" hidden="false" customHeight="true" outlineLevel="0" collapsed="false">
      <c r="A25" s="22" t="str">
        <f aca="false">NHÂN_VẬT!$A$25</f>
        <v>NV21</v>
      </c>
      <c r="B25" s="22" t="str">
        <f aca="false">IF(NHÂN_VẬT!$B$25="","",NHÂN_VẬT!$B$25)</f>
        <v/>
      </c>
      <c r="C25" s="21"/>
      <c r="D25" s="21"/>
      <c r="E25" s="21"/>
      <c r="F25" s="21"/>
      <c r="G25" s="21"/>
      <c r="H25" s="21"/>
      <c r="I25" s="21"/>
      <c r="J25" s="21"/>
      <c r="K25" s="22" t="str">
        <f aca="false">COUNTA(C25:J25)&amp;"/8"</f>
        <v>0/8</v>
      </c>
      <c r="L25" s="21"/>
    </row>
    <row r="26" customFormat="false" ht="15" hidden="false" customHeight="true" outlineLevel="0" collapsed="false">
      <c r="A26" s="22" t="str">
        <f aca="false">NHÂN_VẬT!$A$26</f>
        <v>NV22</v>
      </c>
      <c r="B26" s="22" t="str">
        <f aca="false">IF(NHÂN_VẬT!$B$26="","",NHÂN_VẬT!$B$26)</f>
        <v/>
      </c>
      <c r="C26" s="21"/>
      <c r="D26" s="21"/>
      <c r="E26" s="21"/>
      <c r="F26" s="21"/>
      <c r="G26" s="21"/>
      <c r="H26" s="21"/>
      <c r="I26" s="21"/>
      <c r="J26" s="21"/>
      <c r="K26" s="22" t="str">
        <f aca="false">COUNTA(C26:J26)&amp;"/8"</f>
        <v>0/8</v>
      </c>
      <c r="L26" s="21"/>
    </row>
    <row r="27" customFormat="false" ht="15" hidden="false" customHeight="true" outlineLevel="0" collapsed="false">
      <c r="A27" s="22" t="str">
        <f aca="false">NHÂN_VẬT!$A$27</f>
        <v>NV23</v>
      </c>
      <c r="B27" s="22" t="str">
        <f aca="false">IF(NHÂN_VẬT!$B$27="","",NHÂN_VẬT!$B$27)</f>
        <v/>
      </c>
      <c r="C27" s="21"/>
      <c r="D27" s="21"/>
      <c r="E27" s="21"/>
      <c r="F27" s="21"/>
      <c r="G27" s="21"/>
      <c r="H27" s="21"/>
      <c r="I27" s="21"/>
      <c r="J27" s="21"/>
      <c r="K27" s="22" t="str">
        <f aca="false">COUNTA(C27:J27)&amp;"/8"</f>
        <v>0/8</v>
      </c>
      <c r="L27" s="21"/>
    </row>
    <row r="28" customFormat="false" ht="15" hidden="false" customHeight="true" outlineLevel="0" collapsed="false">
      <c r="A28" s="22" t="str">
        <f aca="false">NHÂN_VẬT!$A$28</f>
        <v>NV24</v>
      </c>
      <c r="B28" s="22" t="str">
        <f aca="false">IF(NHÂN_VẬT!$B$28="","",NHÂN_VẬT!$B$28)</f>
        <v/>
      </c>
      <c r="C28" s="21"/>
      <c r="D28" s="21"/>
      <c r="E28" s="21"/>
      <c r="F28" s="21"/>
      <c r="G28" s="21"/>
      <c r="H28" s="21"/>
      <c r="I28" s="21"/>
      <c r="J28" s="21"/>
      <c r="K28" s="22" t="str">
        <f aca="false">COUNTA(C28:J28)&amp;"/8"</f>
        <v>0/8</v>
      </c>
      <c r="L28" s="21"/>
    </row>
    <row r="29" customFormat="false" ht="15" hidden="false" customHeight="true" outlineLevel="0" collapsed="false">
      <c r="A29" s="22" t="str">
        <f aca="false">NHÂN_VẬT!$A$29</f>
        <v>NV25</v>
      </c>
      <c r="B29" s="22" t="str">
        <f aca="false">IF(NHÂN_VẬT!$B$29="","",NHÂN_VẬT!$B$29)</f>
        <v/>
      </c>
      <c r="C29" s="21"/>
      <c r="D29" s="21"/>
      <c r="E29" s="21"/>
      <c r="F29" s="21"/>
      <c r="G29" s="21"/>
      <c r="H29" s="21"/>
      <c r="I29" s="21"/>
      <c r="J29" s="21"/>
      <c r="K29" s="22" t="str">
        <f aca="false">COUNTA(C29:J29)&amp;"/8"</f>
        <v>0/8</v>
      </c>
      <c r="L29" s="21"/>
    </row>
    <row r="30" customFormat="false" ht="15" hidden="false" customHeight="true" outlineLevel="0" collapsed="false">
      <c r="A30" s="22" t="str">
        <f aca="false">NHÂN_VẬT!$A$30</f>
        <v>NV26</v>
      </c>
      <c r="B30" s="22" t="str">
        <f aca="false">IF(NHÂN_VẬT!$B$30="","",NHÂN_VẬT!$B$30)</f>
        <v/>
      </c>
      <c r="C30" s="21"/>
      <c r="D30" s="21"/>
      <c r="E30" s="21"/>
      <c r="F30" s="21"/>
      <c r="G30" s="21"/>
      <c r="H30" s="21"/>
      <c r="I30" s="21"/>
      <c r="J30" s="21"/>
      <c r="K30" s="22" t="str">
        <f aca="false">COUNTA(C30:J30)&amp;"/8"</f>
        <v>0/8</v>
      </c>
      <c r="L30" s="21"/>
    </row>
    <row r="31" customFormat="false" ht="15" hidden="false" customHeight="true" outlineLevel="0" collapsed="false">
      <c r="A31" s="22" t="str">
        <f aca="false">NHÂN_VẬT!$A$31</f>
        <v>NV27</v>
      </c>
      <c r="B31" s="22" t="str">
        <f aca="false">IF(NHÂN_VẬT!$B$31="","",NHÂN_VẬT!$B$31)</f>
        <v/>
      </c>
      <c r="C31" s="21"/>
      <c r="D31" s="21"/>
      <c r="E31" s="21"/>
      <c r="F31" s="21"/>
      <c r="G31" s="21"/>
      <c r="H31" s="21"/>
      <c r="I31" s="21"/>
      <c r="J31" s="21"/>
      <c r="K31" s="22" t="str">
        <f aca="false">COUNTA(C31:J31)&amp;"/8"</f>
        <v>0/8</v>
      </c>
      <c r="L31" s="21"/>
    </row>
    <row r="32" customFormat="false" ht="15" hidden="false" customHeight="true" outlineLevel="0" collapsed="false">
      <c r="A32" s="22" t="str">
        <f aca="false">NHÂN_VẬT!$A$32</f>
        <v>NV28</v>
      </c>
      <c r="B32" s="22" t="str">
        <f aca="false">IF(NHÂN_VẬT!$B$32="","",NHÂN_VẬT!$B$32)</f>
        <v/>
      </c>
      <c r="C32" s="21"/>
      <c r="D32" s="21"/>
      <c r="E32" s="21"/>
      <c r="F32" s="21"/>
      <c r="G32" s="21"/>
      <c r="H32" s="21"/>
      <c r="I32" s="21"/>
      <c r="J32" s="21"/>
      <c r="K32" s="22" t="str">
        <f aca="false">COUNTA(C32:J32)&amp;"/8"</f>
        <v>0/8</v>
      </c>
      <c r="L32" s="21"/>
    </row>
    <row r="33" customFormat="false" ht="15" hidden="false" customHeight="true" outlineLevel="0" collapsed="false">
      <c r="A33" s="22" t="str">
        <f aca="false">NHÂN_VẬT!$A$33</f>
        <v>NV29</v>
      </c>
      <c r="B33" s="22" t="str">
        <f aca="false">IF(NHÂN_VẬT!$B$33="","",NHÂN_VẬT!$B$33)</f>
        <v/>
      </c>
      <c r="C33" s="21"/>
      <c r="D33" s="21"/>
      <c r="E33" s="21"/>
      <c r="F33" s="21"/>
      <c r="G33" s="21"/>
      <c r="H33" s="21"/>
      <c r="I33" s="21"/>
      <c r="J33" s="21"/>
      <c r="K33" s="22" t="str">
        <f aca="false">COUNTA(C33:J33)&amp;"/8"</f>
        <v>0/8</v>
      </c>
      <c r="L33" s="21"/>
    </row>
    <row r="34" customFormat="false" ht="15" hidden="false" customHeight="true" outlineLevel="0" collapsed="false">
      <c r="A34" s="22" t="str">
        <f aca="false">NHÂN_VẬT!$A$34</f>
        <v>NV30</v>
      </c>
      <c r="B34" s="22" t="str">
        <f aca="false">IF(NHÂN_VẬT!$B$34="","",NHÂN_VẬT!$B$34)</f>
        <v/>
      </c>
      <c r="C34" s="21"/>
      <c r="D34" s="21"/>
      <c r="E34" s="21"/>
      <c r="F34" s="21"/>
      <c r="G34" s="21"/>
      <c r="H34" s="21"/>
      <c r="I34" s="21"/>
      <c r="J34" s="21"/>
      <c r="K34" s="22" t="str">
        <f aca="false">COUNTA(C34:J34)&amp;"/8"</f>
        <v>0/8</v>
      </c>
      <c r="L34"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2" min="1" style="1" width="34"/>
    <col collapsed="false" customWidth="true" hidden="false" outlineLevel="0" max="13" min="13" style="1" width="20"/>
  </cols>
  <sheetData>
    <row r="1" customFormat="false" ht="15" hidden="false" customHeight="true" outlineLevel="0" collapsed="false">
      <c r="A1" s="10" t="s">
        <v>287</v>
      </c>
      <c r="B1" s="10" t="s">
        <v>818</v>
      </c>
      <c r="C1" s="10" t="s">
        <v>513</v>
      </c>
      <c r="D1" s="10" t="s">
        <v>514</v>
      </c>
      <c r="E1" s="10" t="s">
        <v>518</v>
      </c>
      <c r="F1" s="10" t="s">
        <v>600</v>
      </c>
      <c r="G1" s="10" t="s">
        <v>819</v>
      </c>
      <c r="H1" s="10" t="s">
        <v>820</v>
      </c>
      <c r="I1" s="10" t="s">
        <v>821</v>
      </c>
      <c r="J1" s="10" t="s">
        <v>822</v>
      </c>
      <c r="K1" s="10" t="s">
        <v>406</v>
      </c>
      <c r="L1" s="10" t="s">
        <v>510</v>
      </c>
      <c r="M1" s="10" t="s">
        <v>823</v>
      </c>
    </row>
    <row r="2" customFormat="false" ht="15" hidden="false" customHeight="true" outlineLevel="0" collapsed="false">
      <c r="A2" s="35" t="s">
        <v>298</v>
      </c>
      <c r="B2" s="35" t="s">
        <v>332</v>
      </c>
      <c r="C2" s="35" t="s">
        <v>541</v>
      </c>
      <c r="D2" s="35" t="s">
        <v>531</v>
      </c>
      <c r="E2" s="35" t="s">
        <v>543</v>
      </c>
      <c r="F2" s="35" t="s">
        <v>609</v>
      </c>
      <c r="G2" s="35" t="s">
        <v>530</v>
      </c>
      <c r="H2" s="35" t="s">
        <v>618</v>
      </c>
      <c r="I2" s="35" t="s">
        <v>607</v>
      </c>
      <c r="J2" s="35" t="s">
        <v>61</v>
      </c>
      <c r="K2" s="35" t="s">
        <v>418</v>
      </c>
      <c r="L2" s="35" t="s">
        <v>438</v>
      </c>
      <c r="M2" s="35" t="s">
        <v>649</v>
      </c>
    </row>
    <row r="3" customFormat="false" ht="15" hidden="false" customHeight="true" outlineLevel="0" collapsed="false">
      <c r="A3" s="35" t="s">
        <v>301</v>
      </c>
      <c r="B3" s="35" t="s">
        <v>341</v>
      </c>
      <c r="C3" s="35" t="s">
        <v>129</v>
      </c>
      <c r="D3" s="35" t="s">
        <v>567</v>
      </c>
      <c r="E3" s="35" t="s">
        <v>532</v>
      </c>
      <c r="F3" s="35" t="s">
        <v>824</v>
      </c>
      <c r="G3" s="35" t="s">
        <v>534</v>
      </c>
      <c r="H3" s="35" t="s">
        <v>606</v>
      </c>
      <c r="I3" s="35" t="s">
        <v>619</v>
      </c>
      <c r="J3" s="35" t="s">
        <v>207</v>
      </c>
      <c r="K3" s="35" t="s">
        <v>420</v>
      </c>
      <c r="L3" s="35" t="s">
        <v>444</v>
      </c>
      <c r="M3" s="35" t="s">
        <v>660</v>
      </c>
    </row>
    <row r="4" customFormat="false" ht="15" hidden="false" customHeight="true" outlineLevel="0" collapsed="false">
      <c r="A4" s="35" t="s">
        <v>304</v>
      </c>
      <c r="B4" s="35" t="s">
        <v>825</v>
      </c>
      <c r="C4" s="35" t="s">
        <v>131</v>
      </c>
      <c r="D4" s="35" t="s">
        <v>561</v>
      </c>
      <c r="E4" s="35" t="s">
        <v>535</v>
      </c>
      <c r="F4" s="35" t="s">
        <v>826</v>
      </c>
      <c r="G4" s="35" t="s">
        <v>827</v>
      </c>
      <c r="I4" s="35" t="s">
        <v>39</v>
      </c>
      <c r="J4" s="35" t="s">
        <v>616</v>
      </c>
      <c r="K4" s="35" t="s">
        <v>421</v>
      </c>
      <c r="M4" s="1" t="s">
        <v>666</v>
      </c>
    </row>
    <row r="5" customFormat="false" ht="15" hidden="false" customHeight="true" outlineLevel="0" collapsed="false">
      <c r="A5" s="35" t="s">
        <v>307</v>
      </c>
      <c r="C5" s="35" t="s">
        <v>552</v>
      </c>
      <c r="D5" s="35" t="s">
        <v>562</v>
      </c>
      <c r="E5" s="35" t="s">
        <v>828</v>
      </c>
      <c r="F5" s="35" t="s">
        <v>829</v>
      </c>
      <c r="G5" s="35" t="s">
        <v>830</v>
      </c>
      <c r="I5" s="35" t="s">
        <v>831</v>
      </c>
      <c r="J5" s="35" t="s">
        <v>99</v>
      </c>
      <c r="K5" s="35" t="s">
        <v>422</v>
      </c>
    </row>
    <row r="6" customFormat="false" ht="15" hidden="false" customHeight="true" outlineLevel="0" collapsed="false">
      <c r="A6" s="35" t="s">
        <v>310</v>
      </c>
      <c r="C6" s="35" t="s">
        <v>832</v>
      </c>
      <c r="D6" s="35" t="s">
        <v>566</v>
      </c>
      <c r="E6" s="35" t="s">
        <v>553</v>
      </c>
      <c r="G6" s="35" t="s">
        <v>573</v>
      </c>
      <c r="I6" s="35" t="s">
        <v>623</v>
      </c>
      <c r="K6" s="35" t="s">
        <v>424</v>
      </c>
    </row>
    <row r="7" customFormat="false" ht="15" hidden="false" customHeight="true" outlineLevel="0" collapsed="false">
      <c r="A7" s="35" t="s">
        <v>313</v>
      </c>
      <c r="C7" s="35" t="s">
        <v>537</v>
      </c>
      <c r="D7" s="35" t="s">
        <v>542</v>
      </c>
      <c r="E7" s="35" t="s">
        <v>540</v>
      </c>
      <c r="G7" s="35" t="s">
        <v>547</v>
      </c>
      <c r="I7" s="35" t="s">
        <v>626</v>
      </c>
    </row>
    <row r="8" customFormat="false" ht="15" hidden="false" customHeight="true" outlineLevel="0" collapsed="false">
      <c r="A8" s="35" t="s">
        <v>316</v>
      </c>
      <c r="C8" s="35" t="s">
        <v>548</v>
      </c>
      <c r="D8" s="35" t="s">
        <v>570</v>
      </c>
      <c r="E8" s="35" t="s">
        <v>574</v>
      </c>
      <c r="G8" s="35" t="s">
        <v>575</v>
      </c>
    </row>
    <row r="9" customFormat="false" ht="15" hidden="false" customHeight="true" outlineLevel="0" collapsed="false">
      <c r="C9" s="35" t="s">
        <v>572</v>
      </c>
      <c r="D9" s="35" t="s">
        <v>555</v>
      </c>
      <c r="E9" s="35" t="s">
        <v>549</v>
      </c>
      <c r="G9" s="35" t="s">
        <v>833</v>
      </c>
    </row>
    <row r="10" customFormat="false" ht="15" hidden="false" customHeight="true" outlineLevel="0" collapsed="false">
      <c r="C10" s="35" t="s">
        <v>539</v>
      </c>
      <c r="D10" s="35" t="s">
        <v>834</v>
      </c>
      <c r="E10" s="35" t="s">
        <v>835</v>
      </c>
      <c r="G10" s="35" t="s">
        <v>551</v>
      </c>
    </row>
    <row r="11" customFormat="false" ht="15" hidden="false" customHeight="true" outlineLevel="0" collapsed="false">
      <c r="C11" s="35" t="s">
        <v>583</v>
      </c>
      <c r="D11" s="35" t="s">
        <v>836</v>
      </c>
      <c r="E11" s="35" t="s">
        <v>837</v>
      </c>
      <c r="G11" s="35" t="s">
        <v>565</v>
      </c>
    </row>
    <row r="12" customFormat="false" ht="15" hidden="false" customHeight="true" outlineLevel="0" collapsed="false">
      <c r="C12" s="35" t="s">
        <v>626</v>
      </c>
      <c r="D12" s="35" t="s">
        <v>838</v>
      </c>
      <c r="G12" s="35" t="s">
        <v>560</v>
      </c>
    </row>
    <row r="13" customFormat="false" ht="15" hidden="false" customHeight="true" outlineLevel="0" collapsed="false">
      <c r="D13" s="35" t="s">
        <v>839</v>
      </c>
      <c r="G13" s="35" t="s">
        <v>840</v>
      </c>
    </row>
    <row r="14" customFormat="false" ht="15" hidden="false" customHeight="true" outlineLevel="0" collapsed="false">
      <c r="D14" s="35" t="s">
        <v>545</v>
      </c>
      <c r="G14" s="35" t="s">
        <v>569</v>
      </c>
    </row>
    <row r="15" customFormat="false" ht="15" hidden="false" customHeight="true" outlineLevel="0" collapsed="false">
      <c r="D15" s="35" t="s">
        <v>577</v>
      </c>
      <c r="G15" s="35" t="s">
        <v>841</v>
      </c>
    </row>
    <row r="16" customFormat="false" ht="15" hidden="false" customHeight="true" outlineLevel="0" collapsed="false">
      <c r="D16" s="35" t="s">
        <v>584</v>
      </c>
      <c r="G16" s="35" t="s">
        <v>842</v>
      </c>
    </row>
    <row r="18" customFormat="false" ht="15" hidden="false" customHeight="true" outlineLevel="0" collapsed="false">
      <c r="A18" s="19" t="s">
        <v>843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2026-10-06T14:46:58Z</dcterms:created>
  <dc:creator>openpyxl</dc:creator>
  <dc:description/>
  <dc:language>en-US</dc:language>
  <cp:lastModifiedBy>HOANG DUONG NHU</cp:lastModifiedBy>
  <dcterms:modified xsi:type="dcterms:W3CDTF">2026-10-07T05:06:13Z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